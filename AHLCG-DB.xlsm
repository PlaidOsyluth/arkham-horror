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300" windowWidth="20175" windowHeight="1170"/>
  </bookViews>
  <sheets>
    <sheet name="Sets" sheetId="2" r:id="rId1"/>
    <sheet name="Card Data" sheetId="1" r:id="rId2"/>
    <sheet name="Special Characters" sheetId="7" r:id="rId3"/>
    <sheet name="Tables" sheetId="4" state="hidden" r:id="rId4"/>
    <sheet name="Sheet2" sheetId="6" state="hidden" r:id="rId5"/>
  </sheets>
  <functionGroups builtInGroupCount="17"/>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45621" calcMode="manual"/>
</workbook>
</file>

<file path=xl/calcChain.xml><?xml version="1.0" encoding="utf-8"?>
<calcChain xmlns="http://schemas.openxmlformats.org/spreadsheetml/2006/main">
  <c r="AA32" i="2" l="1"/>
  <c r="Z32" i="2"/>
  <c r="Y32" i="2"/>
  <c r="X32" i="2"/>
  <c r="W32" i="2"/>
  <c r="V32" i="2"/>
  <c r="T32" i="2"/>
  <c r="S32" i="2"/>
  <c r="R32" i="2"/>
  <c r="Q32" i="2"/>
  <c r="P32" i="2"/>
  <c r="O32" i="2"/>
  <c r="N32" i="2"/>
  <c r="L32" i="2"/>
  <c r="K32" i="2"/>
  <c r="J32" i="2"/>
  <c r="I32" i="2" s="1"/>
  <c r="H32" i="2"/>
  <c r="G32" i="2"/>
  <c r="AA31" i="2" l="1"/>
  <c r="Z31" i="2"/>
  <c r="Y31" i="2"/>
  <c r="X31" i="2"/>
  <c r="W31" i="2"/>
  <c r="V31" i="2"/>
  <c r="T31" i="2"/>
  <c r="S31" i="2"/>
  <c r="R31" i="2"/>
  <c r="Q31" i="2"/>
  <c r="P31" i="2"/>
  <c r="O31" i="2"/>
  <c r="N31" i="2"/>
  <c r="L31" i="2"/>
  <c r="K31" i="2"/>
  <c r="J31" i="2"/>
  <c r="I31" i="2" s="1"/>
  <c r="H31" i="2"/>
  <c r="G31" i="2"/>
  <c r="Z29" i="2" l="1"/>
  <c r="AA30" i="2"/>
  <c r="Z30" i="2"/>
  <c r="Y30" i="2"/>
  <c r="X30" i="2"/>
  <c r="W30" i="2"/>
  <c r="V30" i="2"/>
  <c r="T30" i="2"/>
  <c r="S30" i="2"/>
  <c r="R30" i="2"/>
  <c r="Q30" i="2"/>
  <c r="P30" i="2"/>
  <c r="O30" i="2"/>
  <c r="N30" i="2"/>
  <c r="L30" i="2"/>
  <c r="K30" i="2"/>
  <c r="J30" i="2"/>
  <c r="I30" i="2" s="1"/>
  <c r="H30" i="2"/>
  <c r="G30" i="2"/>
  <c r="AA29" i="2" l="1"/>
  <c r="AA28" i="2"/>
  <c r="Z28" i="2"/>
  <c r="Y29" i="2"/>
  <c r="Y28" i="2"/>
  <c r="X29" i="2"/>
  <c r="X28" i="2"/>
  <c r="W29" i="2"/>
  <c r="W28" i="2"/>
  <c r="V29" i="2"/>
  <c r="V28" i="2"/>
  <c r="T29" i="2"/>
  <c r="T28" i="2"/>
  <c r="S29" i="2"/>
  <c r="S28" i="2"/>
  <c r="R29" i="2"/>
  <c r="R28" i="2"/>
  <c r="Q29" i="2"/>
  <c r="Q28" i="2"/>
  <c r="P29" i="2"/>
  <c r="P28" i="2"/>
  <c r="O29" i="2"/>
  <c r="O28" i="2"/>
  <c r="N29" i="2"/>
  <c r="N28" i="2"/>
  <c r="L29" i="2"/>
  <c r="L28" i="2"/>
  <c r="K29" i="2"/>
  <c r="K28" i="2"/>
  <c r="J29" i="2"/>
  <c r="I29" i="2" s="1"/>
  <c r="J28" i="2"/>
  <c r="I28" i="2" s="1"/>
  <c r="H29" i="2"/>
  <c r="H28" i="2"/>
  <c r="G29" i="2"/>
  <c r="G28" i="2"/>
  <c r="AA27" i="2" l="1"/>
  <c r="Z27" i="2"/>
  <c r="Y27" i="2"/>
  <c r="X27" i="2"/>
  <c r="W27" i="2"/>
  <c r="V27" i="2"/>
  <c r="S27" i="2"/>
  <c r="T27" i="2"/>
  <c r="R27" i="2"/>
  <c r="Q27" i="2"/>
  <c r="P27" i="2"/>
  <c r="O27" i="2"/>
  <c r="N27" i="2"/>
  <c r="L27" i="2"/>
  <c r="K27" i="2"/>
  <c r="J27" i="2"/>
  <c r="I27" i="2" s="1"/>
  <c r="H27" i="2"/>
  <c r="G27" i="2"/>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s="1"/>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<sst xmlns="http://schemas.openxmlformats.org/spreadsheetml/2006/main" count="18135" uniqueCount="6159">
  <si>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</si>
  <si>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</si>
  <si>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</si>
  <si>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</si>
  <si>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</si>
  <si>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</si>
  <si>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</si>
  <si>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</si>
  <si>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</si>
  <si>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</si>
  <si>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</si>
  <si>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</si>
  <si>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</si>
  <si>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</si>
  <si>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</si>
  <si>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</si>
  <si>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</si>
  <si>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</si>
  <si>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</si>
  <si>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</si>
  <si>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</si>
  <si>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</si>
  <si>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</si>
  <si>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</si>
  <si>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</si>
  <si>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</si>
  <si>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</si>
  <si>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</si>
  <si>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</si>
  <si>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</si>
  <si>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</si>
  <si>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</si>
  <si>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</si>
  <si>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</si>
  <si>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</si>
  <si>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</si>
  <si>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</si>
  <si>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</si>
  <si>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</si>
  <si>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</si>
  <si>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</si>
  <si>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</si>
  <si>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</si>
  <si>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</si>
  <si>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</si>
  <si>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</si>
  <si>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</si>
  <si>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</si>
  <si>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</si>
  <si>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</si>
  <si>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</si>
  <si>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</si>
  <si>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</si>
  <si>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</si>
  <si>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</si>
  <si>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</si>
  <si>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</si>
  <si>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</si>
  <si>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</si>
  <si>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</si>
  <si>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</si>
  <si>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</si>
  <si>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</si>
  <si>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</si>
  <si>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</si>
  <si>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</si>
  <si>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</si>
  <si>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</si>
  <si>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</si>
  <si>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</si>
  <si>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</si>
  <si>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</si>
  <si>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</si>
  <si>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</si>
  <si>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</si>
  <si>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</si>
  <si>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</si>
  <si>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</si>
  <si>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</si>
  <si>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</si>
  <si>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</si>
  <si>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</si>
  <si>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</si>
  <si>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</si>
  <si>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</si>
  <si>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</si>
  <si>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</si>
  <si>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</si>
  <si>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</si>
  <si>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</si>
  <si>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</si>
  <si>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</si>
  <si>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</si>
  <si>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</si>
  <si>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</si>
  <si>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</si>
  <si>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</si>
  <si>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</si>
  <si>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</si>
  <si>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</si>
  <si>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</si>
  <si>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</si>
  <si>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</si>
  <si>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</si>
  <si>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</si>
  <si>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</si>
  <si>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</si>
  <si>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</si>
  <si>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</si>
  <si>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</si>
  <si>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</si>
  <si>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</si>
  <si>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</si>
  <si>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</si>
  <si>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</si>
  <si>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</si>
  <si>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</si>
  <si>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</si>
  <si>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</si>
  <si>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</si>
  <si>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</si>
  <si>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</si>
  <si>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</si>
  <si>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</si>
  <si>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</si>
  <si>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</si>
  <si>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</si>
  <si>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</si>
  <si>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</si>
  <si>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</si>
  <si>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</si>
  <si>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</si>
  <si>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</si>
  <si>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</si>
  <si>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</si>
  <si>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</si>
  <si>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</si>
  <si>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</si>
  <si>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</si>
  <si>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</si>
  <si>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</si>
  <si>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</si>
  <si>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</si>
  <si>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</si>
  <si>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</si>
  <si>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</si>
  <si>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</si>
  <si>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</si>
  <si>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</si>
  <si>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</si>
  <si>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</si>
  <si>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</si>
  <si>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</si>
  <si>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</si>
  <si>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</si>
  <si>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</si>
  <si>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</si>
  <si>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</si>
  <si>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</si>
  <si>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</si>
  <si>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</si>
  <si>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</si>
  <si>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</si>
  <si>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</si>
  <si>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</si>
  <si>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</si>
  <si>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</si>
  <si>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</si>
  <si>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</si>
  <si>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</si>
  <si>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</si>
  <si>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</si>
  <si>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</si>
  <si>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</si>
  <si>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</si>
  <si>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</si>
  <si>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</si>
  <si>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</si>
  <si>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</si>
  <si>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</si>
  <si>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</si>
  <si>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</si>
  <si>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</si>
  <si>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</si>
  <si>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</si>
  <si>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</si>
  <si>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</si>
  <si>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</si>
  <si>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</si>
  <si>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</si>
  <si>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</si>
  <si>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</si>
  <si>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</si>
  <si>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</si>
  <si>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</si>
  <si>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</si>
  <si>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</si>
  <si>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</si>
  <si>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</si>
  <si>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</si>
  <si>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</si>
  <si>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</si>
  <si>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</si>
  <si>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</si>
  <si>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</si>
  <si>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</si>
  <si>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</si>
  <si>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</si>
  <si>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</si>
  <si>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</si>
  <si>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</si>
  <si>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</si>
  <si>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</si>
  <si>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</si>
  <si>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</si>
  <si>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</si>
  <si>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</si>
  <si>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</si>
  <si>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</si>
  <si>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</si>
  <si>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</si>
  <si>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</si>
  <si>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</si>
  <si>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</si>
  <si>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</si>
  <si>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</si>
  <si>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</si>
  <si>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</si>
  <si>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</si>
  <si>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</si>
  <si>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</si>
  <si>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</si>
  <si>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</si>
  <si>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</si>
  <si>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</si>
  <si>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</si>
  <si>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</si>
  <si>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</si>
  <si>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</si>
  <si>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</si>
  <si>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</si>
  <si>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</si>
  <si>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</si>
  <si>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</si>
  <si>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</si>
  <si>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</si>
  <si>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</si>
  <si>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</si>
  <si>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</si>
  <si>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</si>
  <si>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</si>
  <si>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</si>
  <si>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</si>
  <si>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</si>
  <si>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</si>
  <si>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</si>
  <si>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</si>
  <si>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</si>
  <si>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</si>
  <si>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</si>
  <si>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</si>
  <si>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</si>
  <si>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</si>
  <si>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</si>
  <si>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</si>
  <si>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</si>
  <si>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</si>
  <si>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</si>
  <si>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</si>
  <si>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</si>
  <si>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</si>
  <si>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</si>
  <si>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</si>
  <si>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</si>
  <si>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</si>
  <si>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</si>
  <si>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</si>
  <si>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</si>
  <si>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</si>
  <si>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</si>
  <si>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</si>
  <si>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</si>
  <si>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</si>
  <si>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</si>
  <si>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</si>
  <si>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</si>
  <si>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</si>
  <si>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</si>
  <si>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</si>
  <si>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</si>
  <si>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</si>
  <si>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</si>
  <si>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</si>
  <si>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</si>
  <si>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</si>
  <si>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</si>
  <si>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</si>
  <si>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</si>
  <si>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</si>
  <si>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</si>
  <si>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</si>
  <si>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</si>
  <si>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</si>
  <si>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</si>
  <si>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</si>
  <si>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</si>
  <si>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</si>
  <si>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</si>
  <si>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</si>
  <si>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</si>
  <si>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</si>
  <si>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</si>
  <si>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</si>
  <si>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</si>
  <si>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</si>
  <si>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</si>
  <si>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</si>
  <si>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</si>
  <si>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</si>
  <si>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</si>
  <si>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</si>
  <si>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</si>
  <si>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</si>
  <si>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</si>
  <si>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</si>
  <si>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</si>
  <si>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</si>
  <si>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</si>
  <si>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</si>
  <si>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</si>
  <si>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</si>
  <si>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</si>
  <si>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</si>
  <si>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</si>
  <si>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</si>
  <si>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</si>
  <si>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</si>
  <si>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</si>
  <si>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</si>
  <si>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</si>
  <si>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</si>
  <si>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</si>
  <si>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</si>
  <si>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</si>
  <si>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</si>
  <si>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</si>
  <si>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</si>
  <si>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</si>
  <si>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</si>
  <si>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</si>
  <si>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</si>
  <si>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</si>
  <si>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</si>
  <si>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</si>
  <si>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</si>
  <si>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</si>
  <si>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</si>
  <si>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</si>
  <si>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</si>
  <si>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</si>
  <si>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</si>
  <si>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</si>
  <si>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</si>
  <si>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</si>
  <si>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</si>
  <si>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</si>
  <si>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</si>
  <si>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</si>
  <si>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</si>
  <si>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</si>
  <si>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</si>
  <si>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</si>
  <si>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</si>
  <si>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</si>
  <si>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</si>
  <si>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</si>
  <si>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</si>
  <si>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</si>
  <si>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</si>
  <si>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</si>
  <si>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</si>
  <si>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</si>
  <si>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</si>
  <si>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</si>
  <si>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</si>
  <si>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</si>
  <si>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</si>
  <si>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</si>
  <si>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</si>
  <si>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</si>
  <si>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</si>
  <si>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</si>
  <si>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</si>
  <si>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</si>
  <si>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</si>
  <si>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</si>
  <si>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</si>
  <si>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</si>
  <si>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</si>
  <si>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</si>
  <si>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</si>
  <si>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</si>
  <si>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</si>
  <si>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</si>
  <si>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</si>
  <si>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</si>
  <si>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</si>
  <si>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</si>
  <si>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</si>
  <si>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</si>
  <si>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</si>
  <si>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</si>
  <si>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</si>
  <si>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</si>
  <si>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</si>
  <si>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</si>
  <si>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</si>
  <si>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</si>
  <si>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</si>
  <si>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</si>
  <si>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</si>
  <si>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</si>
  <si>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</si>
  <si>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</si>
  <si>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</si>
  <si>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</si>
  <si>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</si>
  <si>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</si>
  <si>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</si>
  <si>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</si>
  <si>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</si>
  <si>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</si>
  <si>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</si>
  <si>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</si>
  <si>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</si>
  <si>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</si>
  <si>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</si>
  <si>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</si>
  <si>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</si>
  <si>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</si>
  <si>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</si>
  <si>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</si>
  <si>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</si>
  <si>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</si>
  <si>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</si>
  <si>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</si>
  <si>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</si>
  <si>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</si>
  <si>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</si>
  <si>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</si>
  <si>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</si>
  <si>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</si>
  <si>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</si>
  <si>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</si>
  <si>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</si>
  <si>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</si>
  <si>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</si>
  <si>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</si>
  <si>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</si>
  <si>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</si>
  <si>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</si>
  <si>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</si>
  <si>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</si>
  <si>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</si>
  <si>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</si>
  <si>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</si>
  <si>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</si>
  <si>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</si>
  <si>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</si>
  <si>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</si>
  <si>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</si>
  <si>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</si>
  <si>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</si>
  <si>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</si>
  <si>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</si>
  <si>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</si>
  <si>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</si>
  <si>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</si>
  <si>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</si>
  <si>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</si>
  <si>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</si>
  <si>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</si>
  <si>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</si>
  <si>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</si>
  <si>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</si>
  <si>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</si>
  <si>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</si>
  <si>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</si>
  <si>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</si>
  <si>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</si>
  <si>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</si>
  <si>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</si>
  <si>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</si>
  <si>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</si>
  <si>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</si>
  <si>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</si>
  <si>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</si>
  <si>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</si>
  <si>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</si>
  <si>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</si>
  <si>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</si>
  <si>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</si>
  <si>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</si>
  <si>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</si>
  <si>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</si>
  <si>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</si>
  <si>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</si>
  <si>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</si>
  <si>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</si>
  <si>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</si>
  <si>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</si>
  <si>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</si>
  <si>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</si>
  <si>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</si>
  <si>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</si>
  <si>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</si>
  <si>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</si>
  <si>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</si>
  <si>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</si>
  <si>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</si>
  <si>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</si>
  <si>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</si>
  <si>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</si>
  <si>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</si>
  <si>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</si>
  <si>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</si>
  <si>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</si>
  <si>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</si>
  <si>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</si>
  <si>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</si>
  <si>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</si>
  <si>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</si>
  <si>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</si>
  <si>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</si>
  <si>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</si>
  <si>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</si>
  <si>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</si>
  <si>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</si>
  <si>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</si>
  <si>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</si>
  <si>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</si>
  <si>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</si>
  <si>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</si>
  <si>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</si>
  <si>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</si>
  <si>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</si>
  <si>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</si>
  <si>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</si>
  <si>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</si>
  <si>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</si>
  <si>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</si>
  <si>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</si>
  <si>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</si>
  <si>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</si>
  <si>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</si>
  <si>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</si>
  <si>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</si>
  <si>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</si>
  <si>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</si>
  <si>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</si>
  <si>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</si>
  <si>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</si>
  <si>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</si>
  <si>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</si>
  <si>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</si>
  <si>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</si>
  <si>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</si>
  <si>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</si>
  <si>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</si>
  <si>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</si>
  <si>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</si>
  <si>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</si>
  <si>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</si>
  <si>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</si>
  <si>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</si>
  <si>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</si>
  <si>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</si>
  <si>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</si>
  <si>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</si>
  <si>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</si>
  <si>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</si>
  <si>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</si>
  <si>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</si>
  <si>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</si>
  <si>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</si>
  <si>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</si>
  <si>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</si>
  <si>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</si>
  <si>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</si>
  <si>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</si>
  <si>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</si>
  <si>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</si>
  <si>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</si>
  <si>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</si>
  <si>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</si>
  <si>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</si>
  <si>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</si>
  <si>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</si>
  <si>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</si>
  <si>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</si>
  <si>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</si>
  <si>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</si>
  <si>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</si>
  <si>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</si>
  <si>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</si>
  <si>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</si>
  <si>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</si>
  <si>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</si>
  <si>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</si>
  <si>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</si>
  <si>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</si>
  <si>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</si>
  <si>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</si>
  <si>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</si>
  <si>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</si>
  <si>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</si>
  <si>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</si>
  <si>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</si>
  <si>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</si>
  <si>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</si>
  <si>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</si>
  <si>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</si>
  <si>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</si>
  <si>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</si>
  <si>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</si>
  <si>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</si>
  <si>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</si>
  <si>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</si>
  <si>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</si>
  <si>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</si>
  <si>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</si>
  <si>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</si>
  <si>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</si>
  <si>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</si>
  <si>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</si>
  <si>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</si>
  <si>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</si>
  <si>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</si>
  <si>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</si>
  <si>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</si>
  <si>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</si>
  <si>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</si>
  <si>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</si>
  <si>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</si>
  <si>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</si>
  <si>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</si>
  <si>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</si>
  <si>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</si>
  <si>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</si>
  <si>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</si>
  <si>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</si>
  <si>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</si>
  <si>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</si>
  <si>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</si>
  <si>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</si>
  <si>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</si>
  <si>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</si>
  <si>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</si>
  <si>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</si>
  <si>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</si>
  <si>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</si>
  <si>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</si>
  <si>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</si>
  <si>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</si>
  <si>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</si>
  <si>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</si>
  <si>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</si>
  <si>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</si>
  <si>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</si>
  <si>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</si>
  <si>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</si>
  <si>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</si>
  <si>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</si>
  <si>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</si>
  <si>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</si>
  <si>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</si>
  <si>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</si>
  <si>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</si>
  <si>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</si>
  <si>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</si>
  <si>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</si>
  <si>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</si>
  <si>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</si>
  <si>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</si>
  <si>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</si>
  <si>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</si>
  <si>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</si>
  <si>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</si>
  <si>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</si>
  <si>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</si>
  <si>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</si>
  <si>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</si>
  <si>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</si>
  <si>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</si>
  <si>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</si>
  <si>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</si>
  <si>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</si>
  <si>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</si>
  <si>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</si>
  <si>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</si>
  <si>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</si>
  <si>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</si>
  <si>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</si>
  <si>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</si>
  <si>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</si>
  <si>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</si>
  <si>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</si>
  <si>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</si>
  <si>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</si>
  <si>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</si>
  <si>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</si>
  <si>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</si>
  <si>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</si>
  <si>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</si>
  <si>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</si>
  <si>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</si>
  <si>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</si>
  <si>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</si>
  <si>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</si>
  <si>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</si>
  <si>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</si>
  <si>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</si>
  <si>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</si>
  <si>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</si>
  <si>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</si>
  <si>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</si>
  <si>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</si>
  <si>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</si>
  <si>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</si>
  <si>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</si>
  <si>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</si>
  <si>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</si>
  <si>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</si>
  <si>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</si>
  <si>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</si>
  <si>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</si>
  <si>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</si>
  <si>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</si>
  <si>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</si>
  <si>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</si>
  <si>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</si>
  <si>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</si>
  <si>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</si>
  <si>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</si>
  <si>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</si>
  <si>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</si>
  <si>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</si>
  <si>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</si>
  <si>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</si>
  <si>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</si>
  <si>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</si>
  <si>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</si>
  <si>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</si>
  <si>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</si>
  <si>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</si>
  <si>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</si>
  <si>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</si>
  <si>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</si>
  <si>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</si>
  <si>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</si>
  <si>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</si>
  <si>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</si>
  <si>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</si>
  <si>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</si>
  <si>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</si>
  <si>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</si>
  <si>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</si>
  <si>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</si>
  <si>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</si>
  <si>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</si>
  <si>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</si>
  <si>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</si>
  <si>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</si>
  <si>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</si>
  <si>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</si>
  <si>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</si>
  <si>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</si>
  <si>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</si>
  <si>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</si>
  <si>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</si>
  <si>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</si>
  <si>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</si>
  <si>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</si>
  <si>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</si>
  <si>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</si>
  <si>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</si>
  <si>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</si>
  <si>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</si>
  <si>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</si>
  <si>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</si>
  <si>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</si>
  <si>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</si>
  <si>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</si>
  <si>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</si>
  <si>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</si>
  <si>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</si>
  <si>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</si>
  <si>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</si>
  <si>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</si>
  <si>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</si>
  <si>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</si>
  <si>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</si>
  <si>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</si>
  <si>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</si>
  <si>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</si>
  <si>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</si>
  <si>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</si>
  <si>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</si>
  <si>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</si>
  <si>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</si>
  <si>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</si>
  <si>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</si>
  <si>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</si>
  <si>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</si>
  <si>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</si>
  <si>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</si>
  <si>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</si>
  <si>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</si>
  <si>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</si>
  <si>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</si>
  <si>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</si>
  <si>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</si>
  <si>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</si>
  <si>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</si>
  <si>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</si>
  <si>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</si>
  <si>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</si>
  <si>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</si>
  <si>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</si>
  <si>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</si>
  <si>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</si>
  <si>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</si>
  <si>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</si>
  <si>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</si>
  <si>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</si>
  <si>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</si>
  <si>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</si>
  <si>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</si>
  <si>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</si>
  <si>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</si>
  <si>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</si>
  <si>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</si>
  <si>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</si>
  <si>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</si>
  <si>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</si>
  <si>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</si>
  <si>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</si>
  <si>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</si>
  <si>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</si>
  <si>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</si>
  <si>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</si>
  <si>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</si>
  <si>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</si>
  <si>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</si>
  <si>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</si>
  <si>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</si>
  <si>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</si>
  <si>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</si>
  <si>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</si>
  <si>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</si>
  <si>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</si>
  <si>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</si>
  <si>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</si>
  <si>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</si>
  <si>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</si>
  <si>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</si>
  <si>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</si>
  <si>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</si>
  <si>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</si>
  <si>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</si>
  <si>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</si>
  <si>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</si>
  <si>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</si>
  <si>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</si>
  <si>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</si>
  <si>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</si>
  <si>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</si>
  <si>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</si>
  <si>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</si>
  <si>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</si>
  <si>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</si>
  <si>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</si>
  <si>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</si>
  <si>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</si>
  <si>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</si>
  <si>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</si>
  <si>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</si>
  <si>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</si>
  <si>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</si>
  <si>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</si>
  <si>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</si>
  <si>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</si>
  <si>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</si>
  <si>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</si>
  <si>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</si>
  <si>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</si>
  <si>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</si>
  <si>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</si>
  <si>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</si>
  <si>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</si>
  <si>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</si>
  <si>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</si>
  <si>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</si>
  <si>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</si>
  <si>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</si>
  <si>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</si>
  <si>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</si>
  <si>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</si>
  <si>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</si>
  <si>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</si>
  <si>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</si>
  <si>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</si>
  <si>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</si>
  <si>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</si>
  <si>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</si>
  <si>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</si>
  <si>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</si>
  <si>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</si>
  <si>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</si>
  <si>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</si>
  <si>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</si>
  <si>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</si>
  <si>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</si>
  <si>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</si>
  <si>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</si>
  <si>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</si>
  <si>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</si>
  <si>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</si>
  <si>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</si>
  <si>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</si>
  <si>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</si>
  <si>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</si>
  <si>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</si>
  <si>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</si>
  <si>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</si>
  <si>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</si>
  <si>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</si>
  <si>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</si>
  <si>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</si>
  <si>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</si>
  <si>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</si>
  <si>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</si>
  <si>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</si>
  <si>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</si>
  <si>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</si>
  <si>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</si>
  <si>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</si>
  <si>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</si>
  <si>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</si>
  <si>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</si>
  <si>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</si>
  <si>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</si>
  <si>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</si>
  <si>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</si>
  <si>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</si>
  <si>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</si>
  <si>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</si>
  <si>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</si>
  <si>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</si>
  <si>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</si>
  <si>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</si>
  <si>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</si>
  <si>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</si>
  <si>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</si>
  <si>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</si>
  <si>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</si>
  <si>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</si>
  <si>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</si>
  <si>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</si>
  <si>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</si>
  <si>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</si>
  <si>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</si>
  <si>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</si>
  <si>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</si>
  <si>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</si>
  <si>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</si>
  <si>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</si>
  <si>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</si>
  <si>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</si>
  <si>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</si>
  <si>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</si>
  <si>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</si>
  <si>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</si>
  <si>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</si>
  <si>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</si>
  <si>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</si>
  <si>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</si>
  <si>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</si>
  <si>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</si>
  <si>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</si>
  <si>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</si>
  <si>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</si>
  <si>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</si>
  <si>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</si>
  <si>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</si>
  <si>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</si>
  <si>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</si>
  <si>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</si>
  <si>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</si>
  <si>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</si>
  <si>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</si>
  <si>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</si>
  <si>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</si>
  <si>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</si>
  <si>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</si>
  <si>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</si>
  <si>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</si>
  <si>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</si>
  <si>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</si>
  <si>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</si>
  <si>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</si>
  <si>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</si>
  <si>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</si>
  <si>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</si>
  <si>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</si>
  <si>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</si>
  <si>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</si>
  <si>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</si>
  <si>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</si>
  <si>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</si>
  <si>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</si>
  <si>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</si>
  <si>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</si>
  <si>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</si>
  <si>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</si>
  <si>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</si>
  <si>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</si>
  <si>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</si>
  <si>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</si>
  <si>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</si>
  <si>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</si>
  <si>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</si>
  <si>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</si>
  <si>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</si>
  <si>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</si>
  <si>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</si>
  <si>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</si>
  <si>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</si>
  <si>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</si>
  <si>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</si>
  <si>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</si>
  <si>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</si>
  <si>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</si>
  <si>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</si>
  <si>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</si>
  <si>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</si>
  <si>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</si>
  <si>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</si>
  <si>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</si>
  <si>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</si>
  <si>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</si>
  <si>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</si>
  <si>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</si>
  <si>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</si>
  <si>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</si>
  <si>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</si>
  <si>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</si>
  <si>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</si>
  <si>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</si>
  <si>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</si>
  <si>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</si>
  <si>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</si>
  <si>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</si>
  <si>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</si>
  <si>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</si>
  <si>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</si>
  <si>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</si>
  <si>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</si>
  <si>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</si>
  <si>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</si>
  <si>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</si>
  <si>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</si>
  <si>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</si>
  <si>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</si>
  <si>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</si>
  <si>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</si>
  <si>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</si>
  <si>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</si>
  <si>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</si>
  <si>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</si>
  <si>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</si>
  <si>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</si>
  <si>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</si>
  <si>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</si>
  <si>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</si>
  <si>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</si>
  <si>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</si>
  <si>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</si>
  <si>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</si>
  <si>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</si>
  <si>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</si>
  <si>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</si>
  <si>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</si>
  <si>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</si>
  <si>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</si>
  <si>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</si>
  <si>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</si>
  <si>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</si>
  <si>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</si>
  <si>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</si>
  <si>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</si>
  <si>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</si>
  <si>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</si>
  <si>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</si>
  <si>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</si>
  <si>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</si>
  <si>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</si>
  <si>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</si>
  <si>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</si>
  <si>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</si>
  <si>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</si>
  <si>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</si>
  <si>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</si>
  <si>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</si>
  <si>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</si>
  <si>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</si>
  <si>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</si>
  <si>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</si>
  <si>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</si>
  <si>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</si>
  <si>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</si>
  <si>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</si>
  <si>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</si>
  <si>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</si>
  <si>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</si>
  <si>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</si>
  <si>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</si>
  <si>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</si>
  <si>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</si>
  <si>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</si>
  <si>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</si>
  <si>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</si>
  <si>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</si>
  <si>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</si>
  <si>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</si>
  <si>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</si>
  <si>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</si>
  <si>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</si>
  <si>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</si>
  <si>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</si>
  <si>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</si>
  <si>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</si>
  <si>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</si>
  <si>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</si>
  <si>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</si>
  <si>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</si>
  <si>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</si>
  <si>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</si>
  <si>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</si>
  <si>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</si>
  <si>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</si>
  <si>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</si>
  <si>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</si>
  <si>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</si>
  <si>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</si>
  <si>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</si>
  <si>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</si>
  <si>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</si>
  <si>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</si>
  <si>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</si>
  <si>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</si>
  <si>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</si>
  <si>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</si>
  <si>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</si>
  <si>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</si>
  <si>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</si>
  <si>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</si>
  <si>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</si>
  <si>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</si>
  <si>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</si>
  <si>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</si>
  <si>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</si>
  <si>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</si>
  <si>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</si>
  <si>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</si>
  <si>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</si>
  <si>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</si>
  <si>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</si>
  <si>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</si>
  <si>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</si>
  <si>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</si>
  <si>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</si>
  <si>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</si>
  <si>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</si>
  <si>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</si>
  <si>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</si>
  <si>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</si>
  <si>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</si>
  <si>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</si>
  <si>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</si>
  <si>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</si>
  <si>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</si>
  <si>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</si>
  <si>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</si>
  <si>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</si>
  <si>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</si>
  <si>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</si>
  <si>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</si>
  <si>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</si>
  <si>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</si>
  <si>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</si>
  <si>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</si>
  <si>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</si>
  <si>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</si>
  <si>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</si>
  <si>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</si>
  <si>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</si>
  <si>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</si>
  <si>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</si>
  <si>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</si>
  <si>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</si>
  <si>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</si>
  <si>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</si>
  <si>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</si>
  <si>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</si>
  <si>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</si>
  <si>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</si>
  <si>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</si>
  <si>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</si>
  <si>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</si>
  <si>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</si>
  <si>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</si>
  <si>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</si>
  <si>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</si>
  <si>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</si>
  <si>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</si>
  <si>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</si>
  <si>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</si>
  <si>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</si>
  <si>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</si>
  <si>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</si>
  <si>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</si>
  <si>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</si>
  <si>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</si>
  <si>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</si>
  <si>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</si>
  <si>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</si>
  <si>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</si>
  <si>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</si>
  <si>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</si>
  <si>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</si>
  <si>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</si>
  <si>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</si>
  <si>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</si>
  <si>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</si>
  <si>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</si>
  <si>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</si>
  <si>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</si>
  <si>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</si>
  <si>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</si>
  <si>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</si>
  <si>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</si>
  <si>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</si>
  <si>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</si>
  <si>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</si>
  <si>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</si>
  <si>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</si>
  <si>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</si>
  <si>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</si>
  <si>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</si>
  <si>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</si>
  <si>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</si>
  <si>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</si>
  <si>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</si>
  <si>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</si>
  <si>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</si>
  <si>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</si>
  <si>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</si>
  <si>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</si>
  <si>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</si>
  <si>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</si>
  <si>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</si>
  <si>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</si>
  <si>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</si>
  <si>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</si>
  <si>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</si>
  <si>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</si>
  <si>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</si>
  <si>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</si>
  <si>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</si>
  <si>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</si>
  <si>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</si>
  <si>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</si>
  <si>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</si>
  <si>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</si>
  <si>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</si>
  <si>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</si>
  <si>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</si>
  <si>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</si>
  <si>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</si>
  <si>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</si>
  <si>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</si>
  <si>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</si>
  <si>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</si>
  <si>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</si>
  <si>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</si>
  <si>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</si>
  <si>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</si>
  <si>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</si>
  <si>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</si>
  <si>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</si>
  <si>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</si>
  <si>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</si>
  <si>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</si>
  <si>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</si>
  <si>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</si>
  <si>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</si>
  <si>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</si>
  <si>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</si>
  <si>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</si>
  <si>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</si>
  <si>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</si>
  <si>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</si>
  <si>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</si>
  <si>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</si>
  <si>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</si>
  <si>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</si>
  <si>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</si>
  <si>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</si>
  <si>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</si>
  <si>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</si>
  <si>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</si>
  <si>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</si>
  <si>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</si>
  <si>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</si>
  <si>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</si>
  <si>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</si>
  <si>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</si>
  <si>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</si>
  <si>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</si>
  <si>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</si>
  <si>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</si>
  <si>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</si>
  <si>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</si>
  <si>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</si>
  <si>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</si>
  <si>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</si>
  <si>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</si>
  <si>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</si>
  <si>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</si>
  <si>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</si>
  <si>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</si>
  <si>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</si>
  <si>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</si>
  <si>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</si>
  <si>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</si>
  <si>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</si>
  <si>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</si>
  <si>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</si>
  <si>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</si>
  <si>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</si>
  <si>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</si>
  <si>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</si>
  <si>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</si>
  <si>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</si>
  <si>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</si>
  <si>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</si>
  <si>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</si>
  <si>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</si>
  <si>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</si>
  <si>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</si>
  <si>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</si>
  <si>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</si>
  <si>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</si>
  <si>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</si>
  <si>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</si>
  <si>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</si>
  <si>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</si>
  <si>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</si>
  <si>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</si>
  <si>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</si>
  <si>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</si>
  <si>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</si>
  <si>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</si>
  <si>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</si>
  <si>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</si>
  <si>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</si>
  <si>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</si>
  <si>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</si>
  <si>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</si>
  <si>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</si>
  <si>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</si>
  <si>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</si>
  <si>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</si>
  <si>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</si>
  <si>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</si>
  <si>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</si>
  <si>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</si>
  <si>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</si>
  <si>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</si>
  <si>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</si>
  <si>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</si>
  <si>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</si>
  <si>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</si>
  <si>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</si>
  <si>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</si>
  <si>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</si>
  <si>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</si>
  <si>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</si>
  <si>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</si>
  <si>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</si>
  <si>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</si>
  <si>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</si>
  <si>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</si>
  <si>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</si>
  <si>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</si>
  <si>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</si>
  <si>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</si>
  <si>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</si>
  <si>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</si>
  <si>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</si>
  <si>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</si>
  <si>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</si>
  <si>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</si>
  <si>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</si>
  <si>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</si>
  <si>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</si>
  <si>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</si>
  <si>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</si>
  <si>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</si>
  <si>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</si>
  <si>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</si>
  <si>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</si>
  <si>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</si>
  <si>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</si>
  <si>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</si>
  <si>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</si>
  <si>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</si>
  <si>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</si>
  <si>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</si>
  <si>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</si>
  <si>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</si>
  <si>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</si>
  <si>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</si>
  <si>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</si>
  <si>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</si>
  <si>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</si>
  <si>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</si>
  <si>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</si>
  <si>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</si>
  <si>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</si>
  <si>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</si>
  <si>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</si>
  <si>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</si>
  <si>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</si>
  <si>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</si>
  <si>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</si>
  <si>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</si>
  <si>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</si>
  <si>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</si>
  <si>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</si>
  <si>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</si>
  <si>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</si>
  <si>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</si>
  <si>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</si>
  <si>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</si>
  <si>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</si>
  <si>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</si>
  <si>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</si>
  <si>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</si>
  <si>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</si>
  <si>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</si>
  <si>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</si>
  <si>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</si>
  <si>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</si>
  <si>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</si>
  <si>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</si>
  <si>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</si>
  <si>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</si>
  <si>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</si>
  <si>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</si>
  <si>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</si>
  <si>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</si>
  <si>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</si>
  <si>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</si>
  <si>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</si>
  <si>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</si>
  <si>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</si>
  <si>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</si>
  <si>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</si>
  <si>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</si>
  <si>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</si>
  <si>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</si>
  <si>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</si>
  <si>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</si>
  <si>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</si>
  <si>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</si>
  <si>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</si>
  <si>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</si>
  <si>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</si>
  <si>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</si>
  <si>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</si>
  <si>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</si>
  <si>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</si>
  <si>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</si>
  <si>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</si>
  <si>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</si>
  <si>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</si>
  <si>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</si>
  <si>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</si>
  <si>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</si>
  <si>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</si>
  <si>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</si>
  <si>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</si>
  <si>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</si>
  <si>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</si>
  <si>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</si>
  <si>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</si>
  <si>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</si>
  <si>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</si>
  <si>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</si>
  <si>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</si>
  <si>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</si>
  <si>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</si>
  <si>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</si>
  <si>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</si>
  <si>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</si>
  <si>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</si>
  <si>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</si>
  <si>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</si>
  <si>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</si>
  <si>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</si>
  <si>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</si>
  <si>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</si>
  <si>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</si>
  <si>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</si>
  <si>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</si>
  <si>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</si>
  <si>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</si>
  <si>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</si>
  <si>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</si>
  <si>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</si>
  <si>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</si>
  <si>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</si>
  <si>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</si>
  <si>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</si>
  <si>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</si>
  <si>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</si>
  <si>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</si>
  <si>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</si>
  <si>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</si>
  <si>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</si>
  <si>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</si>
  <si>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</si>
  <si>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</si>
  <si>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</si>
  <si>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</si>
  <si>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</si>
  <si>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</si>
  <si>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</si>
  <si>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</si>
  <si>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</si>
  <si>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</si>
  <si>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</si>
  <si>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</si>
  <si>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</si>
  <si>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</si>
  <si>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</si>
  <si>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</si>
  <si>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</si>
  <si>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</si>
  <si>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</si>
  <si>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</si>
  <si>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</si>
  <si>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</si>
  <si>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</si>
  <si>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</si>
  <si>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</si>
  <si>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</si>
  <si>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</si>
  <si>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</si>
  <si>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</si>
  <si>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</si>
  <si>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</si>
  <si>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</si>
  <si>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</si>
  <si>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</si>
  <si>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</si>
  <si>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</si>
  <si>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</si>
  <si>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</si>
  <si>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</si>
  <si>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</si>
  <si>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</si>
  <si>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</si>
  <si>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</si>
  <si>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</si>
  <si>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</si>
  <si>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</si>
  <si>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</si>
  <si>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</si>
  <si>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</si>
  <si>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</si>
  <si>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</si>
  <si>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</si>
  <si>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</si>
  <si>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</si>
  <si>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</si>
  <si>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</si>
  <si>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</si>
  <si>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</si>
  <si>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</si>
  <si>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</si>
  <si>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</si>
  <si>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</si>
  <si>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</si>
  <si>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</si>
  <si>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</si>
  <si>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</si>
  <si>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</si>
  <si>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</si>
  <si>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</si>
  <si>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</si>
  <si>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</si>
  <si>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</si>
  <si>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</si>
  <si>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</si>
  <si>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</si>
  <si>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</si>
  <si>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</si>
  <si>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</si>
  <si>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</si>
  <si>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</si>
  <si>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</si>
  <si>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</si>
  <si>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</si>
  <si>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</si>
  <si>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</si>
  <si>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</si>
  <si>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</si>
  <si>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</si>
  <si>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</si>
  <si>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</si>
  <si>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</si>
  <si>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</si>
  <si>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</si>
  <si>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</si>
  <si>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</si>
  <si>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</si>
  <si>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</si>
  <si>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</si>
  <si>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</si>
  <si>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</si>
  <si>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</si>
  <si>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</si>
  <si>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</si>
  <si>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</si>
  <si>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</si>
  <si>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</si>
  <si>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</si>
  <si>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</si>
  <si>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</si>
  <si>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</si>
  <si>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</si>
  <si>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</si>
  <si>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</si>
  <si>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</si>
  <si>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</si>
  <si>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</si>
  <si>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</si>
  <si>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</si>
  <si>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</si>
  <si>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</si>
  <si>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</si>
  <si>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</si>
  <si>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</si>
  <si>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</si>
  <si>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</si>
  <si>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</si>
  <si>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</si>
  <si>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</si>
  <si>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</si>
  <si>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</si>
  <si>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</si>
  <si>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</si>
  <si>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</si>
  <si>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</si>
  <si>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</si>
  <si>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</si>
  <si>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</si>
  <si>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</si>
  <si>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</si>
  <si>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</si>
  <si>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</si>
  <si>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</si>
  <si>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</si>
  <si>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</si>
  <si>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</si>
  <si>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</si>
  <si>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</si>
  <si>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</si>
  <si>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</si>
  <si>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</si>
  <si>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</si>
  <si>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</si>
  <si>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</si>
  <si>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</si>
  <si>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</si>
  <si>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</si>
  <si>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</si>
  <si>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</si>
  <si>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</si>
  <si>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</si>
  <si>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</si>
  <si>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</si>
  <si>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</si>
  <si>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</si>
  <si>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</si>
  <si>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</si>
  <si>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</si>
  <si>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</si>
  <si>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</si>
  <si>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</si>
  <si>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</si>
  <si>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</si>
  <si>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</si>
  <si>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</si>
  <si>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</si>
  <si>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</si>
  <si>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</si>
  <si>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</si>
  <si>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</si>
  <si>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</si>
  <si>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</si>
  <si>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</si>
  <si>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</si>
  <si>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</si>
  <si>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</si>
  <si>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</si>
  <si>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</si>
  <si>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</si>
  <si>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</si>
  <si>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</si>
  <si>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</si>
  <si>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</si>
  <si>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</si>
  <si>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</si>
  <si>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</si>
  <si>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</si>
  <si>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</si>
  <si>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</si>
  <si>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</si>
  <si>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</si>
  <si>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</si>
  <si>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</si>
  <si>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</si>
  <si>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</si>
  <si>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</si>
  <si>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</si>
  <si>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</si>
  <si>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</si>
  <si>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</si>
  <si>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</si>
  <si>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</si>
  <si>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</si>
  <si>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</si>
  <si>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</si>
  <si>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</si>
  <si>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</si>
  <si>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</si>
  <si>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</si>
  <si>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</si>
  <si>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</si>
  <si>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</si>
  <si>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</si>
  <si>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</si>
  <si>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</si>
  <si>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</si>
  <si>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</si>
  <si>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</si>
  <si>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</si>
  <si>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</si>
  <si>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</si>
  <si>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</si>
  <si>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</si>
  <si>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</si>
  <si>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</si>
  <si>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</si>
  <si>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</si>
  <si>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</si>
  <si>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</si>
  <si>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</si>
  <si>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</si>
  <si>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</si>
  <si>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</si>
  <si>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</si>
  <si>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</si>
  <si>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</si>
  <si>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</si>
  <si>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</si>
  <si>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</si>
  <si>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</si>
  <si>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</si>
  <si>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</si>
  <si>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</si>
  <si>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</si>
  <si>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</si>
  <si>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</si>
  <si>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</si>
  <si>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</si>
  <si>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</si>
  <si>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</si>
  <si>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</si>
  <si>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</si>
  <si>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</si>
  <si>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</si>
  <si>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</si>
  <si>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</si>
  <si>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</si>
  <si>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</si>
  <si>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</si>
  <si>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</si>
  <si>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</si>
  <si>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</si>
  <si>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</si>
  <si>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</si>
  <si>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</si>
  <si>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</si>
  <si>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</si>
  <si>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</si>
  <si>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</si>
  <si>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</si>
  <si>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</si>
  <si>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</si>
  <si>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</si>
  <si>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</si>
  <si>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</si>
  <si>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</si>
  <si>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</si>
  <si>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</si>
  <si>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</si>
  <si>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</si>
  <si>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</si>
  <si>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</si>
  <si>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</si>
  <si>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</si>
  <si>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</si>
  <si>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</si>
  <si>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</si>
  <si>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</si>
  <si>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</si>
  <si>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</si>
  <si>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</si>
  <si>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</si>
  <si>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</si>
  <si>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</si>
  <si>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</si>
  <si>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</si>
  <si>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</si>
  <si>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</si>
  <si>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</si>
  <si>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</si>
  <si>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</si>
  <si>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</si>
  <si>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</si>
  <si>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</si>
  <si>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</si>
  <si>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</si>
  <si>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</si>
  <si>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</si>
  <si>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</si>
  <si>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</si>
  <si>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</si>
  <si>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</si>
  <si>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</si>
  <si>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</si>
  <si>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</si>
  <si>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</si>
  <si>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</si>
  <si>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</si>
  <si>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</si>
  <si>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</si>
  <si>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</si>
  <si>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</si>
  <si>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</si>
  <si>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</si>
  <si>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</si>
  <si>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</si>
  <si>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</si>
  <si>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</si>
  <si>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</si>
  <si>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</si>
  <si>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</si>
  <si>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</si>
  <si>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</si>
  <si>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</si>
  <si>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</si>
  <si>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</si>
  <si>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</si>
  <si>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</si>
  <si>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</si>
  <si>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</si>
  <si>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</si>
  <si>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</si>
  <si>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</si>
  <si>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</si>
  <si>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</si>
  <si>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</si>
  <si>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</si>
  <si>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</si>
  <si>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</si>
  <si>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</si>
  <si>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</si>
  <si>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</si>
  <si>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</si>
  <si>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</si>
  <si>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</si>
  <si>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</si>
  <si>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</si>
  <si>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</si>
  <si>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</si>
  <si>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</si>
  <si>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</si>
  <si>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</si>
  <si>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</si>
  <si>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</si>
  <si>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</si>
  <si>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</si>
  <si>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</si>
  <si>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</si>
  <si>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</si>
  <si>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</si>
  <si>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</si>
  <si>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</si>
  <si>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</si>
  <si>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</si>
  <si>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</si>
  <si>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</si>
  <si>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</si>
  <si>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</si>
  <si>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</si>
  <si>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</si>
  <si>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</si>
  <si>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</si>
  <si>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</si>
  <si>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</si>
  <si>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</si>
  <si>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</si>
  <si>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</si>
  <si>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</si>
  <si>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</si>
  <si>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</si>
  <si>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</si>
  <si>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</si>
  <si>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</si>
  <si>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</si>
  <si>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</si>
  <si>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</si>
  <si>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</si>
  <si>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</si>
  <si>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</si>
  <si>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</si>
  <si>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</si>
  <si>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</si>
  <si>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</si>
  <si>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</si>
  <si>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</si>
  <si>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</si>
  <si>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</si>
  <si>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</si>
  <si>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</si>
  <si>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</si>
  <si>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</si>
  <si>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</si>
  <si>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</si>
  <si>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</si>
  <si>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</si>
  <si>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</si>
  <si>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</si>
  <si>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</si>
  <si>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</si>
  <si>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</si>
  <si>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</si>
  <si>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</si>
  <si>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</si>
  <si>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</si>
  <si>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</si>
  <si>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</si>
  <si>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</si>
  <si>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</si>
  <si>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</si>
  <si>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</si>
  <si>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</si>
  <si>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</si>
  <si>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</si>
  <si>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</si>
  <si>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</si>
  <si>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</si>
  <si>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</si>
  <si>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</si>
  <si>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</si>
  <si>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</si>
  <si>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</si>
  <si>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</si>
  <si>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</si>
  <si>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</si>
  <si>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</si>
  <si>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</si>
  <si>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</si>
  <si>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</si>
  <si>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</si>
  <si>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</si>
  <si>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</si>
  <si>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</si>
  <si>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</si>
  <si>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</si>
  <si>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</si>
  <si>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</si>
  <si>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</si>
  <si>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</si>
  <si>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</si>
  <si>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</si>
  <si>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</si>
  <si>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</si>
  <si>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</si>
  <si>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</si>
  <si>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</si>
  <si>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</si>
  <si>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</si>
  <si>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</si>
  <si>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</si>
  <si>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</si>
  <si>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</si>
  <si>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</si>
  <si>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</si>
  <si>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</si>
  <si>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</si>
  <si>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</si>
  <si>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</si>
  <si>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</si>
  <si>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</si>
  <si>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</si>
  <si>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</si>
  <si>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</si>
  <si>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</si>
  <si>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</si>
  <si>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</si>
  <si>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</si>
  <si>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</si>
  <si>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</si>
  <si>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</si>
  <si>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</si>
  <si>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</si>
  <si>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</si>
  <si>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</si>
  <si>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</si>
  <si>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</si>
  <si>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</si>
  <si>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</si>
  <si>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</si>
  <si>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</si>
  <si>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</si>
  <si>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</si>
  <si>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</si>
  <si>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</si>
  <si>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</si>
  <si>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</si>
  <si>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</si>
  <si>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</si>
  <si>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</si>
  <si>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</si>
  <si>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</si>
  <si>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</si>
  <si>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</si>
  <si>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</si>
  <si>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</si>
  <si>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</si>
  <si>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</si>
  <si>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</si>
  <si>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</si>
  <si>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</si>
  <si>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</si>
  <si>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</si>
  <si>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</si>
  <si>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</si>
  <si>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</si>
  <si>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</si>
  <si>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</si>
  <si>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</si>
  <si>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</si>
  <si>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</si>
  <si>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</si>
  <si>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</si>
  <si>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</si>
  <si>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</si>
  <si>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</si>
  <si>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</si>
  <si>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</si>
  <si>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</si>
  <si>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</si>
  <si>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</si>
  <si>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</si>
  <si>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</si>
  <si>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</si>
  <si>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</si>
  <si>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</si>
  <si>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</si>
  <si>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</si>
  <si>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</si>
  <si>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</si>
  <si>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</si>
  <si>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</si>
  <si>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</si>
  <si>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</si>
  <si>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</si>
  <si>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</si>
  <si>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</si>
  <si>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</si>
  <si>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</si>
  <si>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</si>
  <si>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</si>
  <si>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</si>
  <si>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</si>
  <si>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</si>
  <si>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</si>
  <si>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</si>
  <si>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</si>
  <si>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</si>
  <si>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</si>
  <si>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</si>
  <si>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</si>
  <si>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</si>
  <si>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</si>
  <si>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</si>
  <si>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</si>
  <si>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</si>
  <si>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</si>
  <si>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</si>
  <si>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</si>
  <si>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</si>
  <si>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</si>
  <si>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</si>
  <si>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</si>
  <si>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</si>
  <si>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</si>
  <si>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</si>
  <si>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</si>
  <si>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</si>
  <si>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</si>
  <si>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</si>
  <si>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</si>
  <si>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</si>
  <si>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</si>
  <si>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</si>
  <si>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</si>
  <si>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</si>
  <si>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</si>
  <si>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</si>
  <si>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</si>
  <si>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</si>
  <si>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</si>
  <si>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</si>
  <si>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</si>
  <si>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</si>
  <si>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</si>
  <si>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</si>
  <si>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</si>
  <si>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</si>
  <si>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</si>
  <si>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</si>
  <si>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</si>
  <si>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</si>
  <si>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</si>
  <si>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</si>
  <si>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</si>
  <si>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</si>
  <si>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</si>
  <si>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</si>
  <si>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</si>
  <si>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</si>
  <si>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</si>
  <si>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</si>
  <si>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</si>
  <si>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</si>
  <si>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</si>
  <si>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</si>
  <si>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</si>
  <si>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</si>
  <si>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</si>
  <si>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</si>
  <si>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</si>
  <si>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</si>
  <si>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</si>
  <si>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</si>
  <si>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</si>
  <si>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</si>
  <si>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</si>
  <si>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</si>
  <si>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</si>
  <si>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</si>
  <si>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</si>
  <si>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</si>
  <si>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</si>
  <si>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</si>
  <si>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</si>
  <si>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</si>
  <si>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</si>
  <si>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</si>
  <si>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</si>
  <si>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</si>
  <si>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</si>
  <si>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</si>
  <si>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</si>
  <si>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</si>
  <si>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</si>
  <si>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</si>
  <si>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</si>
  <si>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</si>
  <si>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</si>
  <si>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</si>
  <si>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</si>
  <si>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</si>
  <si>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</si>
  <si>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</si>
  <si>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</si>
  <si>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</si>
  <si>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</si>
  <si>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</si>
  <si>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</si>
  <si>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</si>
  <si>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</si>
  <si>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</si>
  <si>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</si>
  <si>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</si>
  <si>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</si>
  <si>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</si>
  <si>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</si>
  <si>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</si>
  <si>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</si>
  <si>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</si>
  <si>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</si>
  <si>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</si>
  <si>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</si>
  <si>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</si>
  <si>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</si>
  <si>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</si>
  <si>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</si>
  <si>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</si>
  <si>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</si>
  <si>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</si>
  <si>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</si>
  <si>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</si>
  <si>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</si>
  <si>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</si>
  <si>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</si>
  <si>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</si>
  <si>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</si>
  <si>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</si>
  <si>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</si>
  <si>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</si>
  <si>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</si>
  <si>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</si>
  <si>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</si>
  <si>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</si>
  <si>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</si>
  <si>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</si>
  <si>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</si>
  <si>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</si>
  <si>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</si>
  <si>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</si>
  <si>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</si>
  <si>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</si>
  <si>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</si>
  <si>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</si>
  <si>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</si>
  <si>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</si>
  <si>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</si>
  <si>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</si>
  <si>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</si>
  <si>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</si>
  <si>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</si>
  <si>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</si>
  <si>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</si>
  <si>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</si>
  <si>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</si>
  <si>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</si>
  <si>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</si>
  <si>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</si>
  <si>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</si>
  <si>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</si>
  <si>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</si>
  <si>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</si>
  <si>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</si>
  <si>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</si>
  <si>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</si>
  <si>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</si>
  <si>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</si>
  <si>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</si>
  <si>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</si>
  <si>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</si>
  <si>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</si>
  <si>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</si>
  <si>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</si>
  <si>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</si>
  <si>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</si>
  <si>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</si>
  <si>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</si>
  <si>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</si>
  <si>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</si>
  <si>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</si>
  <si>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</si>
  <si>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</si>
  <si>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</si>
  <si>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</si>
  <si>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</si>
  <si>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</si>
  <si>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</si>
  <si>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</si>
  <si>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</si>
  <si>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</si>
  <si>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</si>
  <si>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</si>
  <si>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</si>
  <si>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</si>
  <si>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</si>
  <si>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</si>
  <si>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</si>
  <si>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</si>
  <si>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</si>
  <si>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</si>
  <si>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</si>
  <si>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</si>
  <si>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</si>
  <si>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</si>
  <si>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</si>
  <si>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</si>
  <si>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</si>
  <si>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</si>
  <si>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</si>
  <si>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</si>
  <si>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</si>
  <si>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</si>
  <si>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</si>
  <si>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</si>
  <si>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</si>
  <si>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</si>
  <si>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</si>
  <si>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</si>
  <si>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</si>
  <si>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</si>
  <si>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</si>
  <si>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</si>
  <si>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</si>
  <si>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</si>
  <si>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</si>
  <si>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</si>
  <si>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</si>
  <si>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</si>
  <si>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</si>
  <si>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</si>
  <si>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</si>
  <si>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</si>
  <si>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</si>
  <si>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</si>
  <si>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</si>
  <si>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</si>
  <si>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</si>
  <si>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</si>
  <si>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</si>
  <si>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</si>
  <si>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</si>
  <si>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</si>
  <si>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</si>
  <si>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</si>
  <si>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</si>
  <si>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</si>
  <si>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</si>
  <si>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</si>
  <si>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</si>
  <si>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</si>
  <si>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</si>
  <si>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</si>
  <si>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</si>
  <si>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</si>
  <si>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</si>
  <si>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</si>
  <si>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</si>
  <si>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</si>
  <si>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</si>
  <si>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</si>
  <si>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</si>
  <si>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</si>
  <si>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</si>
  <si>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</si>
  <si>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</si>
  <si>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</si>
  <si>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</si>
  <si>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</si>
  <si>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</si>
  <si>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</si>
  <si>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</si>
  <si>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</si>
  <si>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</si>
  <si>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</si>
  <si>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</si>
  <si>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</si>
  <si>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</si>
  <si>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</si>
  <si>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</si>
  <si>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</si>
  <si>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</si>
  <si>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</si>
  <si>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</si>
  <si>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</si>
  <si>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</si>
  <si>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</si>
  <si>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</si>
  <si>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</si>
  <si>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</si>
  <si>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</si>
  <si>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</si>
  <si>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</si>
  <si>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</si>
  <si>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</si>
  <si>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</si>
  <si>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</si>
  <si>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</si>
  <si>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</si>
  <si>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</si>
  <si>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</si>
  <si>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</si>
  <si>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</si>
  <si>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</si>
  <si>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</si>
  <si>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</si>
  <si>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</si>
  <si>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</si>
  <si>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</si>
  <si>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</si>
  <si>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</si>
  <si>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</si>
  <si>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</si>
  <si>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</si>
  <si>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</si>
  <si>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</si>
  <si>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</si>
  <si>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</si>
  <si>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</si>
  <si>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</si>
  <si>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</si>
  <si>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</si>
  <si>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</si>
  <si>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</si>
  <si>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</si>
  <si>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</si>
  <si>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</si>
  <si>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</si>
  <si>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</si>
  <si>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</si>
  <si>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</si>
  <si>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</si>
  <si>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</si>
  <si>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</si>
  <si>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</si>
  <si>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</si>
  <si>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</si>
  <si>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</si>
  <si>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</si>
  <si>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</si>
  <si>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</si>
  <si>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</si>
  <si>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</si>
  <si>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</si>
  <si>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</si>
  <si>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</si>
  <si>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</si>
  <si>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</si>
  <si>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</si>
  <si>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</si>
  <si>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</si>
  <si>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</si>
  <si>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</si>
  <si>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</si>
  <si>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</si>
  <si>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</si>
  <si>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</si>
  <si>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</si>
  <si>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</si>
  <si>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</si>
  <si>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</si>
  <si>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</si>
  <si>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</si>
  <si>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</si>
  <si>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</si>
  <si>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</si>
  <si>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</si>
  <si>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</si>
  <si>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</si>
  <si>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</si>
  <si>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</si>
  <si>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</si>
  <si>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</si>
  <si>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</si>
  <si>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</si>
  <si>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</si>
  <si>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</si>
  <si>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</si>
  <si>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</si>
  <si>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</si>
  <si>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</si>
  <si>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</si>
  <si>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</si>
  <si>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</si>
  <si>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</si>
  <si>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</si>
  <si>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</si>
  <si>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</si>
  <si>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</si>
  <si>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</si>
  <si>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</si>
  <si>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</si>
  <si>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</si>
  <si>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</si>
  <si>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</si>
  <si>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</si>
  <si>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</si>
  <si>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</si>
  <si>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</si>
  <si>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</si>
  <si>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</si>
  <si>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</si>
  <si>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</si>
  <si>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</si>
  <si>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</si>
  <si>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</si>
  <si>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</si>
  <si>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</si>
  <si>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</si>
  <si>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</si>
  <si>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</si>
  <si>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</si>
  <si>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</si>
  <si>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</si>
  <si>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</si>
  <si>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</si>
  <si>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</si>
  <si>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</si>
  <si>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</si>
  <si>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</si>
  <si>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</si>
  <si>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</si>
  <si>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</si>
  <si>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</si>
  <si>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</si>
  <si>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</si>
  <si>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</si>
  <si>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</si>
  <si>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</si>
  <si>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</si>
  <si>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</si>
  <si>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</si>
  <si>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</si>
  <si>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</si>
  <si>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</si>
  <si>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</si>
  <si>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</si>
  <si>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</si>
  <si>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</si>
  <si>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</si>
  <si>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</si>
  <si>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</si>
  <si>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</si>
  <si>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</si>
  <si>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</si>
  <si>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</si>
  <si>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</si>
  <si>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</si>
  <si>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</si>
  <si>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</si>
  <si>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</si>
  <si>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</si>
  <si>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</si>
  <si>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</si>
  <si>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</si>
  <si>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</si>
  <si>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</si>
  <si>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</si>
  <si>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</si>
  <si>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</si>
  <si>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</si>
  <si>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</si>
  <si>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</si>
  <si>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</si>
  <si>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</si>
  <si>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</si>
  <si>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</si>
  <si>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</si>
  <si>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</si>
  <si>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</si>
  <si>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</si>
  <si>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</si>
  <si>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</si>
  <si>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</si>
  <si>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</si>
  <si>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</si>
  <si>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</si>
  <si>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</si>
  <si>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</si>
  <si>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</si>
  <si>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</si>
  <si>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</si>
  <si>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</si>
  <si>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</si>
  <si>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</si>
  <si>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</si>
  <si>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</si>
  <si>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</si>
  <si>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</si>
  <si>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</si>
  <si>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</si>
  <si>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</si>
  <si>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</si>
  <si>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</si>
  <si>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</si>
  <si>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</si>
  <si>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</si>
  <si>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</si>
  <si>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</si>
  <si>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</si>
  <si>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</si>
  <si>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</si>
  <si>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</si>
  <si>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</si>
  <si>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</si>
  <si>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</si>
  <si>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</si>
  <si>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</si>
  <si>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</si>
  <si>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</si>
  <si>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</si>
  <si>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</si>
  <si>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</si>
  <si>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</si>
  <si>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</si>
  <si>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</si>
  <si>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</si>
  <si>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</si>
  <si>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</si>
  <si>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</si>
  <si>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</si>
  <si>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</si>
  <si>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</si>
  <si>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</si>
  <si>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</si>
  <si>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</si>
  <si>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</si>
  <si>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</si>
  <si>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</si>
  <si>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</si>
  <si>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</si>
  <si>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</si>
  <si>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</si>
  <si>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</si>
  <si>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</si>
  <si>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</si>
  <si>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</si>
  <si>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</si>
  <si>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</si>
  <si>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</si>
  <si>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</si>
  <si>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</si>
  <si>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</si>
  <si>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</si>
  <si>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</si>
  <si>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</si>
  <si>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</si>
  <si>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</si>
  <si>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</si>
  <si>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</si>
  <si>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</si>
  <si>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</si>
  <si>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</si>
  <si>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</si>
  <si>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</si>
  <si>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</si>
  <si>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</si>
  <si>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</si>
  <si>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</si>
  <si>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</si>
  <si>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</si>
  <si>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</si>
  <si>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</si>
  <si>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</si>
  <si>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</si>
  <si>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</si>
  <si>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</si>
  <si>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</si>
  <si>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</si>
  <si>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</si>
  <si>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</si>
  <si>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</si>
  <si>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</si>
  <si>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</si>
  <si>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</si>
  <si>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</si>
  <si>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</si>
  <si>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</si>
  <si>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</si>
  <si>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</si>
  <si>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</si>
  <si>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</si>
  <si>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</si>
  <si>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</si>
  <si>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</si>
  <si>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</si>
  <si>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</si>
  <si>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</si>
  <si>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</si>
  <si>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</si>
  <si>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</si>
  <si>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</si>
  <si>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</si>
  <si>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</si>
  <si>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</si>
  <si>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</si>
  <si>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</si>
  <si>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</si>
  <si>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</si>
  <si>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</si>
  <si>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</si>
  <si>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</si>
  <si>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</si>
  <si>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</si>
  <si>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</si>
  <si>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</si>
  <si>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</si>
  <si>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</si>
  <si>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</si>
  <si>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</si>
  <si>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</si>
  <si>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</si>
  <si>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</si>
  <si>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</si>
  <si>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</si>
  <si>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</si>
  <si>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</si>
  <si>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</si>
  <si>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</si>
  <si>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</si>
  <si>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</si>
  <si>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</si>
  <si>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</si>
  <si>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</si>
  <si>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</si>
  <si>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</si>
  <si>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</si>
  <si>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</si>
  <si>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</si>
  <si>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</si>
  <si>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</si>
  <si>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</si>
  <si>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</si>
  <si>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</si>
  <si>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</si>
  <si>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</si>
  <si>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</si>
  <si>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</si>
  <si>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</si>
  <si>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</si>
  <si>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</si>
  <si>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</si>
  <si>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</si>
  <si>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</si>
  <si>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</si>
  <si>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</si>
  <si>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</si>
  <si>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</si>
  <si>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</si>
  <si>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</si>
  <si>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</si>
  <si>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</si>
  <si>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</si>
  <si>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</si>
  <si>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</si>
  <si>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</si>
  <si>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</si>
  <si>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</si>
  <si>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</si>
  <si>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</si>
  <si>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</si>
  <si>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</si>
  <si>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</si>
  <si>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</si>
  <si>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</si>
  <si>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</si>
  <si>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</si>
  <si>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</si>
  <si>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</si>
  <si>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</si>
  <si>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</si>
  <si>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</si>
  <si>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</si>
  <si>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</si>
  <si>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</si>
  <si>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</si>
  <si>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</si>
  <si>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</si>
  <si>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</si>
  <si>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</si>
  <si>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</si>
  <si>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</si>
  <si>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</si>
  <si>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</si>
  <si>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</si>
  <si>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</si>
  <si>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</si>
  <si>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</si>
  <si>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</si>
  <si>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</si>
  <si>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</si>
  <si>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</si>
  <si>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</si>
  <si>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</si>
  <si>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</si>
  <si>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</si>
  <si>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</si>
  <si>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</si>
  <si>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</si>
  <si>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</si>
  <si>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</si>
  <si>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</si>
  <si>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</si>
  <si>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</si>
  <si>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</si>
  <si>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</si>
  <si>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</si>
  <si>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</si>
  <si>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</si>
  <si>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</si>
  <si>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</si>
  <si>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</si>
  <si>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</si>
  <si>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</si>
  <si>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</si>
  <si>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</si>
  <si>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</si>
  <si>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</si>
  <si>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</si>
  <si>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</si>
  <si>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</si>
  <si>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</si>
  <si>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</si>
  <si>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</si>
  <si>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</si>
  <si>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</si>
  <si>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</si>
  <si>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</si>
  <si>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</si>
  <si>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</si>
  <si>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</si>
  <si>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</si>
  <si>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</si>
  <si>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</si>
  <si>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</si>
  <si>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</si>
  <si>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</si>
  <si>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</si>
  <si>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</si>
  <si>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</si>
  <si>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</si>
  <si>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</si>
  <si>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</si>
  <si>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</si>
  <si>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</si>
  <si>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</si>
  <si>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</si>
  <si>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</si>
  <si>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</si>
  <si>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</si>
  <si>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</si>
  <si>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</si>
  <si>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</si>
  <si>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</si>
  <si>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</si>
  <si>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</si>
  <si>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</si>
  <si>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</si>
  <si>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</si>
  <si>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</si>
  <si>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</si>
  <si>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</si>
  <si>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</si>
  <si>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</si>
  <si>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</si>
  <si>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</si>
  <si>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</si>
  <si>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</si>
  <si>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</si>
  <si>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</si>
  <si>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</si>
  <si>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</si>
  <si>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</si>
  <si>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</si>
  <si>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</si>
  <si>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</si>
  <si>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</si>
  <si>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</si>
  <si>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</si>
  <si>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</si>
  <si>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</si>
  <si>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</si>
  <si>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</si>
  <si>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</si>
  <si>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</si>
  <si>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</si>
  <si>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</si>
  <si>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</si>
  <si>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</si>
  <si>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</si>
  <si>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</si>
  <si>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</si>
  <si>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</si>
  <si>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</si>
  <si>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</si>
  <si>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</si>
  <si>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</si>
  <si>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</si>
  <si>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</si>
  <si>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</si>
  <si>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</si>
  <si>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</si>
  <si>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</si>
  <si>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</si>
  <si>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</si>
  <si>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</si>
  <si>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</si>
  <si>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</si>
  <si>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</si>
  <si>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</si>
  <si>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</si>
  <si>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</si>
  <si>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</si>
  <si>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</si>
  <si>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</si>
  <si>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</si>
  <si>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</si>
  <si>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</si>
  <si>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</si>
  <si>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</si>
  <si>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</si>
  <si>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</si>
  <si>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</si>
  <si>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</si>
  <si>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</si>
  <si>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</si>
  <si>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</si>
  <si>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</si>
  <si>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</si>
  <si>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</si>
  <si>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</si>
  <si>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</si>
  <si>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</si>
  <si>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</si>
  <si>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</si>
  <si>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</si>
  <si>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</si>
  <si>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</si>
  <si>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</si>
  <si>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</si>
  <si>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</si>
  <si>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</si>
  <si>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</si>
  <si>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</si>
  <si>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</si>
  <si>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</si>
  <si>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</si>
  <si>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</si>
  <si>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</si>
  <si>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</si>
  <si>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</si>
  <si>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</si>
  <si>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</si>
  <si>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</si>
  <si>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</si>
  <si>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</si>
  <si>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</si>
  <si>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</si>
  <si>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</si>
  <si>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</si>
  <si>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</si>
  <si>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</si>
  <si>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</si>
  <si>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</si>
  <si>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</si>
  <si>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</si>
  <si>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</si>
  <si>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</si>
  <si>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</si>
  <si>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</si>
  <si>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</si>
  <si>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</si>
  <si>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</si>
  <si>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</si>
  <si>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</si>
  <si>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</si>
  <si>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</si>
  <si>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</si>
  <si>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</si>
  <si>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</si>
  <si>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</si>
  <si>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</si>
  <si>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</si>
  <si>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</si>
  <si>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</si>
  <si>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</si>
  <si>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</si>
  <si>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</si>
  <si>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</si>
  <si>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</si>
  <si>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</si>
  <si>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</si>
  <si>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</si>
  <si>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</si>
  <si>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</si>
  <si>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</si>
  <si>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</si>
  <si>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</si>
  <si>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</si>
  <si>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</si>
  <si>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</si>
  <si>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</si>
  <si>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</si>
  <si>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</si>
  <si>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</si>
  <si>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</si>
  <si>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</si>
  <si>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</si>
  <si>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</si>
  <si>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</si>
  <si>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</si>
  <si>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</si>
  <si>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</si>
  <si>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</si>
  <si>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</si>
  <si>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</si>
  <si>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</si>
  <si>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</si>
  <si>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</si>
  <si>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</si>
  <si>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</si>
  <si>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</si>
  <si>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</si>
  <si>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</si>
  <si>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</si>
  <si>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</si>
  <si>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</si>
  <si>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</si>
  <si>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</si>
  <si>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</si>
  <si>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</si>
  <si>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</si>
  <si>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</si>
  <si>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</si>
  <si>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</si>
  <si>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</si>
  <si>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</si>
  <si>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</si>
  <si>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</si>
  <si>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</si>
  <si>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</si>
  <si>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</si>
  <si>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</si>
  <si>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</si>
  <si>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</si>
  <si>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</si>
  <si>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</si>
  <si>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</si>
  <si>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</si>
  <si>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</si>
  <si>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</si>
  <si>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</si>
  <si>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</si>
  <si>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</si>
  <si>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</si>
  <si>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</si>
  <si>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</si>
  <si>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</si>
  <si>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</si>
  <si>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</si>
  <si>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</si>
  <si>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</si>
  <si>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</si>
  <si>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</si>
  <si>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</si>
  <si>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</si>
  <si>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</si>
  <si>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</si>
  <si>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</si>
  <si>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</si>
  <si>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</si>
  <si>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</si>
  <si>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</si>
  <si>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</si>
  <si>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</si>
  <si>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</si>
  <si>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</si>
  <si>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</si>
  <si>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</si>
  <si>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</si>
  <si>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</si>
  <si>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</si>
  <si>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</si>
  <si>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</si>
  <si>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</si>
  <si>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</si>
  <si>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</si>
  <si>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</si>
  <si>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</si>
  <si>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</si>
  <si>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</si>
  <si>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</si>
  <si>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</si>
  <si>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</si>
  <si>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</si>
  <si>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</si>
  <si>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</si>
  <si>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</si>
  <si>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</si>
  <si>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</si>
  <si>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</si>
  <si>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</si>
  <si>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</si>
  <si>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</si>
  <si>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</si>
  <si>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</si>
  <si>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</si>
  <si>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</si>
  <si>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</si>
  <si>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</si>
  <si>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</si>
  <si>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</si>
  <si>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</si>
  <si>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</si>
  <si>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</si>
  <si>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</si>
  <si>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</si>
  <si>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</si>
  <si>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</si>
  <si>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</si>
  <si>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</si>
  <si>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</si>
  <si>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</si>
  <si>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</si>
  <si>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</si>
  <si>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</si>
  <si>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</si>
  <si>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</si>
  <si>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</si>
  <si>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</si>
  <si>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</si>
  <si>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</si>
  <si>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</si>
  <si>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</si>
  <si>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</si>
  <si>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</si>
  <si>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</si>
  <si>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</si>
  <si>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</si>
  <si>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</si>
  <si>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</si>
  <si>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</si>
  <si>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</si>
  <si>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</si>
  <si>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</si>
  <si>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</si>
  <si>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</si>
  <si>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</si>
  <si>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</si>
  <si>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</si>
  <si>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</si>
  <si>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</si>
  <si>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</si>
  <si>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</si>
  <si>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</si>
  <si>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</si>
  <si>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</si>
  <si>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</si>
  <si>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</si>
  <si>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</si>
  <si>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</si>
  <si>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</si>
  <si>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</si>
  <si>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</si>
  <si>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</si>
  <si>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</si>
  <si>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</si>
  <si>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</si>
  <si>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</si>
  <si>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</si>
  <si>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</si>
  <si>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</si>
  <si>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</si>
  <si>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</si>
  <si>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</si>
  <si>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</si>
  <si>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</si>
  <si>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</si>
  <si>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</si>
  <si>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</si>
  <si>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</si>
  <si>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</si>
  <si>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</si>
  <si>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</si>
  <si>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</si>
  <si>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</si>
  <si>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</si>
  <si>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</si>
  <si>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</si>
  <si>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</si>
  <si>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</si>
  <si>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</si>
  <si>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</si>
  <si>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</si>
  <si>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</si>
  <si>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</si>
  <si>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</si>
  <si>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</si>
  <si>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</si>
  <si>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</si>
  <si>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</si>
  <si>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</si>
  <si>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</si>
  <si>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</si>
  <si>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</si>
  <si>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</si>
  <si>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</si>
  <si>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</si>
  <si>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</si>
  <si>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</si>
  <si>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</si>
  <si>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</si>
  <si>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</si>
  <si>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</si>
  <si>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</si>
  <si>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</si>
  <si>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</si>
  <si>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</si>
  <si>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</si>
  <si>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</si>
  <si>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</si>
  <si>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</si>
  <si>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</si>
  <si>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</si>
  <si>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</si>
  <si>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</si>
  <si>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</si>
  <si>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</si>
  <si>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</si>
  <si>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</si>
  <si>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</si>
  <si>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</si>
  <si>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</si>
  <si>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</si>
  <si>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</si>
  <si>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</si>
  <si>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</si>
  <si>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</si>
  <si>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</si>
  <si>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</si>
  <si>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</si>
  <si>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</si>
  <si>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</si>
  <si>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</si>
  <si>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</si>
  <si>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</si>
  <si>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</si>
  <si>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</si>
  <si>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</si>
  <si>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</si>
  <si>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</si>
  <si>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</si>
  <si>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</si>
  <si>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</si>
  <si>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</si>
  <si>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</si>
  <si>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</si>
  <si>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</si>
  <si>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</si>
  <si>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</si>
  <si>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</si>
  <si>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</si>
  <si>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</si>
  <si>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</si>
  <si>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</si>
  <si>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</si>
  <si>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</si>
  <si>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</si>
  <si>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</si>
  <si>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</si>
  <si>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</si>
  <si>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</si>
  <si>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</si>
  <si>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</si>
  <si>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</si>
  <si>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</si>
  <si>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</si>
  <si>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</si>
  <si>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</si>
  <si>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</si>
  <si>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</si>
  <si>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</si>
  <si>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</si>
  <si>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</si>
  <si>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</si>
  <si>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</si>
  <si>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</si>
  <si>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</si>
  <si>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</si>
  <si>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</si>
  <si>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</si>
  <si>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</si>
  <si>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</si>
  <si>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</si>
  <si>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</si>
  <si>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</si>
  <si>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</si>
  <si>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</si>
  <si>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</si>
  <si>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</si>
  <si>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</si>
  <si>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</si>
  <si>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</si>
  <si>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</si>
  <si>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</si>
  <si>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</si>
  <si>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</si>
  <si>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</si>
  <si>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</si>
  <si>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</si>
  <si>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</si>
  <si>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</si>
  <si>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</si>
  <si>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</si>
  <si>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</si>
  <si>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</si>
  <si>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</si>
  <si>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</si>
  <si>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</si>
  <si>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</si>
  <si>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</si>
  <si>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</si>
  <si>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</si>
  <si>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</si>
  <si>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</si>
  <si>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</si>
  <si>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</si>
  <si>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</si>
  <si>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</si>
  <si>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</si>
  <si>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</si>
  <si>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</si>
  <si>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</si>
  <si>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</si>
  <si>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</si>
  <si>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</si>
  <si>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</si>
  <si>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</si>
  <si>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</si>
  <si>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</si>
  <si>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</si>
  <si>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</si>
  <si>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</si>
  <si>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</si>
  <si>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</si>
  <si>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</si>
  <si>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</si>
  <si>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</si>
  <si>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</si>
  <si>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</si>
  <si>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</si>
  <si>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</si>
  <si>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</si>
  <si>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</si>
  <si>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</si>
  <si>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</si>
  <si>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</si>
  <si>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</si>
  <si>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</si>
  <si>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</si>
  <si>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</si>
  <si>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</si>
  <si>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</si>
  <si>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</si>
  <si>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</si>
  <si>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</si>
  <si>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</si>
  <si>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</si>
  <si>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</si>
  <si>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</si>
  <si>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</si>
  <si>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</si>
  <si>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</si>
  <si>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</si>
  <si>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</si>
  <si>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</si>
  <si>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</si>
  <si>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</si>
  <si>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</si>
  <si>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</si>
  <si>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</si>
  <si>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</si>
  <si>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</si>
  <si>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</si>
  <si>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</si>
  <si>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</si>
  <si>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</si>
  <si>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</si>
  <si>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</si>
  <si>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</si>
  <si>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</si>
  <si>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</si>
  <si>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</si>
  <si>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</si>
  <si>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</si>
  <si>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</si>
  <si>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</si>
  <si>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</si>
  <si>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</si>
  <si>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</si>
  <si>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</si>
  <si>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</si>
  <si>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</si>
  <si>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</si>
  <si>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</si>
  <si>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</si>
  <si>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</si>
  <si>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</si>
  <si>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</si>
  <si>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</si>
  <si>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</si>
  <si>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</si>
  <si>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</si>
  <si>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</si>
  <si>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</si>
  <si>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</si>
  <si>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</si>
  <si>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</si>
  <si>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</si>
  <si>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</si>
  <si>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</si>
  <si>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</si>
  <si>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</si>
  <si>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</si>
  <si>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</si>
  <si>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</si>
  <si>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</si>
  <si>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</si>
  <si>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</si>
  <si>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</si>
  <si>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</si>
  <si>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</si>
  <si>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</si>
  <si>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</si>
  <si>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</si>
  <si>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</si>
  <si>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</si>
  <si>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</si>
  <si>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</si>
  <si>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</si>
  <si>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</si>
  <si>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</si>
  <si>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</si>
  <si>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</si>
  <si>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</si>
  <si>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</si>
  <si>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</si>
  <si>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</si>
  <si>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</si>
  <si>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</si>
  <si>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</si>
  <si>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</si>
  <si>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</si>
  <si>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</si>
  <si>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</si>
  <si>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</si>
  <si>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</si>
  <si>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</si>
  <si>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</si>
  <si>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</si>
  <si>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</si>
  <si>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</si>
  <si>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</si>
  <si>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</si>
  <si>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</si>
  <si>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</si>
  <si>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</si>
  <si>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</si>
  <si>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</si>
  <si>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</si>
  <si>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</si>
  <si>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</si>
  <si>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</si>
  <si>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</si>
  <si>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</si>
  <si>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</si>
  <si>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</si>
  <si>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</si>
  <si>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</si>
  <si>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</si>
  <si>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</si>
  <si>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</si>
  <si>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</si>
  <si>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</si>
  <si>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</si>
  <si>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</si>
  <si>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</si>
  <si>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</si>
  <si>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</si>
  <si>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</si>
  <si>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</si>
  <si>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</si>
  <si>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</si>
  <si>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</si>
  <si>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</si>
  <si>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</si>
  <si>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</si>
  <si>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</si>
  <si>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</si>
  <si>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</si>
  <si>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</si>
  <si>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</si>
  <si>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</si>
  <si>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</si>
  <si>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</si>
  <si>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</si>
  <si>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</si>
  <si>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</si>
  <si>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</si>
  <si>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</si>
  <si>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</si>
  <si>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</si>
  <si>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</si>
  <si>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</si>
  <si>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</si>
  <si>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</si>
  <si>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</si>
  <si>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</si>
  <si>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</si>
  <si>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</si>
  <si>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</si>
  <si>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</si>
  <si>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</si>
  <si>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</si>
  <si>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</si>
  <si>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</si>
  <si>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</si>
  <si>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</si>
  <si>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</si>
  <si>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</si>
  <si>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</si>
  <si>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</si>
  <si>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</si>
  <si>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</si>
  <si>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</si>
  <si>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</si>
  <si>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</si>
  <si>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</si>
  <si>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</si>
  <si>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</si>
  <si>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</si>
  <si>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</si>
  <si>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</si>
  <si>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</si>
  <si>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</si>
  <si>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</si>
  <si>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</si>
  <si>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</si>
  <si>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</si>
  <si>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</si>
  <si>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</si>
  <si>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</si>
  <si>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</si>
  <si>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</si>
  <si>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</si>
  <si>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</si>
  <si>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</si>
  <si>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</si>
  <si>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</si>
  <si>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</si>
  <si>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</si>
  <si>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</si>
  <si>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</si>
  <si>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</si>
  <si>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</si>
  <si>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</si>
  <si>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</si>
  <si>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</si>
  <si>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</si>
  <si>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</si>
  <si>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</si>
  <si>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</si>
  <si>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</si>
  <si>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</si>
  <si>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</si>
  <si>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</si>
  <si>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</si>
  <si>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</si>
  <si>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</si>
  <si>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</si>
  <si>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</si>
  <si>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</si>
  <si>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</si>
  <si>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</si>
  <si>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</si>
  <si>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</si>
  <si>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</si>
  <si>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</si>
  <si>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</si>
  <si>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</si>
  <si>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</si>
  <si>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</si>
  <si>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</si>
  <si>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</si>
  <si>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</si>
  <si>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</si>
  <si>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</si>
  <si>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</si>
  <si>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</si>
  <si>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</si>
  <si>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</si>
  <si>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</si>
  <si>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</si>
  <si>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</si>
  <si>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</si>
  <si>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</si>
  <si>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</si>
  <si>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</si>
  <si>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</si>
  <si>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</si>
  <si>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</si>
  <si>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</si>
  <si>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</si>
  <si>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</si>
  <si>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</si>
  <si>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</si>
  <si>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</si>
  <si>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</si>
  <si>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</si>
  <si>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</si>
  <si>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</si>
  <si>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</si>
  <si>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</si>
  <si>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</si>
  <si>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</si>
  <si>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</si>
  <si>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</si>
  <si>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</si>
  <si>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</si>
  <si>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</si>
  <si>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</si>
  <si>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</si>
  <si>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</si>
  <si>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</si>
  <si>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</si>
  <si>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</si>
  <si>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</si>
  <si>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</si>
  <si>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</si>
  <si>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</si>
  <si>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</si>
  <si>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</si>
  <si>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</si>
  <si>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</si>
  <si>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</si>
  <si>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</si>
  <si>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</si>
  <si>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</si>
  <si>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</si>
  <si>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</si>
  <si>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</si>
  <si>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</si>
  <si>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</si>
  <si>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</si>
  <si>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</si>
  <si>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</si>
  <si>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</si>
  <si>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</si>
  <si>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</si>
  <si>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</si>
  <si>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</si>
  <si>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</si>
  <si>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</si>
  <si>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</si>
  <si>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</si>
  <si>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</si>
  <si>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</si>
  <si>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</si>
  <si>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</si>
  <si>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</si>
  <si>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</si>
  <si>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</si>
  <si>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</si>
  <si>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</si>
  <si>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</si>
  <si>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</si>
  <si>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</si>
  <si>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</si>
  <si>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</si>
  <si>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</si>
  <si>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</si>
  <si>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</si>
  <si>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</si>
  <si>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</si>
  <si>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</si>
  <si>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</si>
  <si>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</si>
  <si>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</si>
  <si>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</si>
  <si>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</si>
  <si>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</si>
  <si>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</si>
  <si>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</si>
  <si>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</si>
  <si>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</si>
  <si>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</si>
  <si>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</si>
  <si>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</si>
  <si>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</si>
  <si>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</si>
  <si>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</si>
  <si>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</si>
  <si>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</si>
  <si>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</si>
  <si>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</si>
  <si>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</si>
  <si>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</si>
  <si>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</si>
  <si>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</si>
  <si>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</si>
  <si>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</si>
  <si>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</si>
  <si>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</si>
  <si>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</si>
  <si>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</si>
  <si>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</si>
  <si>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</si>
  <si>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</si>
  <si>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</si>
  <si>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</si>
  <si>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</si>
  <si>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</si>
  <si>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</si>
  <si>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</si>
  <si>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</si>
  <si>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</si>
  <si>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</si>
  <si>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</si>
  <si>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</si>
  <si>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</si>
  <si>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</si>
  <si>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</si>
  <si>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</si>
  <si>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</si>
  <si>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</si>
  <si>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</si>
  <si>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</si>
  <si>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</si>
  <si>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</si>
  <si>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</si>
  <si>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</si>
  <si>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</si>
  <si>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</si>
  <si>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</si>
  <si>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</si>
  <si>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</si>
  <si>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</si>
  <si>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</si>
  <si>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</si>
  <si>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</si>
  <si>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</si>
  <si>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</si>
  <si>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</si>
  <si>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</si>
  <si>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</si>
  <si>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</si>
  <si>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</si>
  <si>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</si>
  <si>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</si>
  <si>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</si>
  <si>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</si>
  <si>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</si>
  <si>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</si>
  <si>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</si>
  <si>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</si>
  <si>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</si>
  <si>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</si>
  <si>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</si>
  <si>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</si>
  <si>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</si>
  <si>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</si>
  <si>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</si>
  <si>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</si>
  <si>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</si>
  <si>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</si>
  <si>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</si>
  <si>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</si>
  <si>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</si>
  <si>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</si>
  <si>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</si>
  <si>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</si>
  <si>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</si>
  <si>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</si>
  <si>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</si>
  <si>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</si>
  <si>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</si>
  <si>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</si>
  <si>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</si>
  <si>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</si>
  <si>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</si>
  <si>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</si>
  <si>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</si>
  <si>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</si>
  <si>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</si>
  <si>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</si>
  <si>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</si>
  <si>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</si>
  <si>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</si>
  <si>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</si>
  <si>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</si>
  <si>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</si>
  <si>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</si>
  <si>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</si>
  <si>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</si>
  <si>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</si>
  <si>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</si>
  <si>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</si>
  <si>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</si>
  <si>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</si>
  <si>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</si>
  <si>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</si>
  <si>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</si>
  <si>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</si>
  <si>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</si>
  <si>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</si>
  <si>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</si>
  <si>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</si>
  <si>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</si>
  <si>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</si>
  <si>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</si>
  <si>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</si>
  <si>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</si>
  <si>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</si>
  <si>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</si>
  <si>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</si>
  <si>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</si>
  <si>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</si>
  <si>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</si>
  <si>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</si>
  <si>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</si>
  <si>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</si>
  <si>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</si>
  <si>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</si>
  <si>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</si>
  <si>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</si>
  <si>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</si>
  <si>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</si>
  <si>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</si>
  <si>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</si>
  <si>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</si>
  <si>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</si>
  <si>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</si>
  <si>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</si>
  <si>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</si>
  <si>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</si>
  <si>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</si>
  <si>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</si>
  <si>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</si>
  <si>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</si>
  <si>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</si>
  <si>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</si>
  <si>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</si>
  <si>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</si>
  <si>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</si>
  <si>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</si>
  <si>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</si>
  <si>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</si>
  <si>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</si>
  <si>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</si>
  <si>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</si>
  <si>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</si>
  <si>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</si>
  <si>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</si>
  <si>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</si>
  <si>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</si>
  <si>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</si>
  <si>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</si>
  <si>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</si>
  <si>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</si>
  <si>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</si>
  <si>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</si>
  <si>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</si>
  <si>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</si>
  <si>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</si>
  <si>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</si>
  <si>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</si>
  <si>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</si>
  <si>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</si>
  <si>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</si>
  <si>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</si>
  <si>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</si>
  <si>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</si>
  <si>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</si>
  <si>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</si>
  <si>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</si>
  <si>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</si>
  <si>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</si>
  <si>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</si>
  <si>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</si>
  <si>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</si>
  <si>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</si>
  <si>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</si>
  <si>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</si>
  <si>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</si>
  <si>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</si>
  <si>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</si>
  <si>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</si>
  <si>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</si>
  <si>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</si>
  <si>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</si>
  <si>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</si>
  <si>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</si>
  <si>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</si>
  <si>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</si>
  <si>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</si>
  <si>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</si>
  <si>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</si>
  <si>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</si>
  <si>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</si>
  <si>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</si>
  <si>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</si>
  <si>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</si>
  <si>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</si>
  <si>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</si>
  <si>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</si>
  <si>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</si>
  <si>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</si>
  <si>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</si>
  <si>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</si>
  <si>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</si>
  <si>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</si>
  <si>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</si>
  <si>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</si>
  <si>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</si>
  <si>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</si>
  <si>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</si>
  <si>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</si>
  <si>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</si>
  <si>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</si>
  <si>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</si>
  <si>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</si>
  <si>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</si>
  <si>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</si>
  <si>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</si>
  <si>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</si>
  <si>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</si>
  <si>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</si>
  <si>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</si>
  <si>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</si>
  <si>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</si>
  <si>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</si>
  <si>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</si>
  <si>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</si>
  <si>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</si>
  <si>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</si>
  <si>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</si>
  <si>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</si>
  <si>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</si>
  <si>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</si>
  <si>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</si>
  <si>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</si>
  <si>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</si>
  <si>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</si>
  <si>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</si>
  <si>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</si>
  <si>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</si>
  <si>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</si>
  <si>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</si>
  <si>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</si>
  <si>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</si>
  <si>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</si>
  <si>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</si>
  <si>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</si>
  <si>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</si>
  <si>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</si>
  <si>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</si>
  <si>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</si>
  <si>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</si>
  <si>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</si>
  <si>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</si>
  <si>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</si>
  <si>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</si>
  <si>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</si>
  <si>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</si>
  <si>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</si>
  <si>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</si>
  <si>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</si>
  <si>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</si>
  <si>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</si>
  <si>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</si>
  <si>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</si>
  <si>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</si>
  <si>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</si>
  <si>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</si>
  <si>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</si>
  <si>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</si>
  <si>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</si>
  <si>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</si>
  <si>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</si>
  <si>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</si>
  <si>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</si>
  <si>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</si>
  <si>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</si>
  <si>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</si>
  <si>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</si>
  <si>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</si>
  <si>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</si>
  <si>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</si>
  <si>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</si>
  <si>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</si>
  <si>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</si>
  <si>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</si>
  <si>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</si>
  <si>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</si>
  <si>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</si>
  <si>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</si>
  <si>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</si>
  <si>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</si>
  <si>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</si>
  <si>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</si>
  <si>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</si>
  <si>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</si>
  <si>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</si>
  <si>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</si>
  <si>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</si>
  <si>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</si>
  <si>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</si>
  <si>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</si>
  <si>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</si>
  <si>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</si>
  <si>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</si>
  <si>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</si>
  <si>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</si>
  <si>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</si>
  <si>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</si>
  <si>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</si>
  <si>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</si>
  <si>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</si>
  <si>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</si>
  <si>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</si>
  <si>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</si>
  <si>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</si>
  <si>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</si>
  <si>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</si>
  <si>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</si>
  <si>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</si>
  <si>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</si>
  <si>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</si>
  <si>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</si>
  <si>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</si>
  <si>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</si>
  <si>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</si>
  <si>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</si>
  <si>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</si>
  <si>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</si>
  <si>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</si>
  <si>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</si>
  <si>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</si>
  <si>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</si>
  <si>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</si>
  <si>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</si>
  <si>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</si>
  <si>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</si>
  <si>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</si>
  <si>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</si>
  <si>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</si>
  <si>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</si>
  <si>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</si>
  <si>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</si>
  <si>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</si>
  <si>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</si>
  <si>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</si>
  <si>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</si>
  <si>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</si>
  <si>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</si>
  <si>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</si>
  <si>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</si>
  <si>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</si>
  <si>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</si>
  <si>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</si>
  <si>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</si>
  <si>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</si>
  <si>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</si>
  <si>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</si>
  <si>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</si>
  <si>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</si>
  <si>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</si>
  <si>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</si>
  <si>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</si>
  <si>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</si>
  <si>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</si>
  <si>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</si>
  <si>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</si>
  <si>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</si>
  <si>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</si>
  <si>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</si>
  <si>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</si>
  <si>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</si>
  <si>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</si>
  <si>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</si>
  <si>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</si>
  <si>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</si>
  <si>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</si>
  <si>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</si>
  <si>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</si>
  <si>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</si>
  <si>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</si>
  <si>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</si>
  <si>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</si>
  <si>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</si>
  <si>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</si>
  <si>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</si>
  <si>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</si>
  <si>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</si>
  <si>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</si>
  <si>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</si>
  <si>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</si>
  <si>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</si>
  <si>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</si>
  <si>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</si>
  <si>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</si>
  <si>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</si>
  <si>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</si>
  <si>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</si>
  <si>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</si>
  <si>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</si>
  <si>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</si>
  <si>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</si>
  <si>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</si>
  <si>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</si>
  <si>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</si>
  <si>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</si>
  <si>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</si>
  <si>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</si>
  <si>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</si>
  <si>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</si>
  <si>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</si>
  <si>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</si>
  <si>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</si>
  <si>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</si>
  <si>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</si>
  <si>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</si>
  <si>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</si>
  <si>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</si>
  <si>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</si>
  <si>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</si>
  <si>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</si>
  <si>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</si>
  <si>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</si>
  <si>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</si>
  <si>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</si>
  <si>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</si>
  <si>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</si>
  <si>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</si>
  <si>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</si>
  <si>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</si>
  <si>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</si>
  <si>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</si>
  <si>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</si>
  <si>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</si>
  <si>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</si>
  <si>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</si>
  <si>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</si>
  <si>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</si>
  <si>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</si>
  <si>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</si>
  <si>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</si>
  <si>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</si>
  <si>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</si>
  <si>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</si>
  <si>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</si>
  <si>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</si>
  <si>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</si>
  <si>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</si>
  <si>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</si>
  <si>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</si>
  <si>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</si>
  <si>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</si>
  <si>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</si>
  <si>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</si>
  <si>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</si>
  <si>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</si>
  <si>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</si>
  <si>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</si>
  <si>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</si>
  <si>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</si>
  <si>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</si>
  <si>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</si>
  <si>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</si>
  <si>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</si>
  <si>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</si>
  <si>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</si>
  <si>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</si>
  <si>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</si>
  <si>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</si>
  <si>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</si>
  <si>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</si>
  <si>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</si>
  <si>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</si>
  <si>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</si>
  <si>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</si>
  <si>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</si>
  <si>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</si>
  <si>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</si>
  <si>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</si>
  <si>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</si>
  <si>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</si>
  <si>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</si>
  <si>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</si>
  <si>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</si>
  <si>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</si>
  <si>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</si>
  <si>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</si>
  <si>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</si>
  <si>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</si>
  <si>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</si>
  <si>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</si>
  <si>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</si>
  <si>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</si>
  <si>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</si>
  <si>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</si>
  <si>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</si>
  <si>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</si>
  <si>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</si>
  <si>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</si>
  <si>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</si>
  <si>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</si>
  <si>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</si>
  <si>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</si>
  <si>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</si>
  <si>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</si>
  <si>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</si>
  <si>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</si>
  <si>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</si>
  <si>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</si>
  <si>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</si>
  <si>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</si>
  <si>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</si>
  <si>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</si>
  <si>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</si>
  <si>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</si>
  <si>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</si>
  <si>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</si>
  <si>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</si>
  <si>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</si>
  <si>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</si>
  <si>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</si>
  <si>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</si>
  <si>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</si>
  <si>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</si>
  <si>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</si>
  <si>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</si>
  <si>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</si>
  <si>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</si>
  <si>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</si>
  <si>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</si>
  <si>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</si>
  <si>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</si>
  <si>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</si>
  <si>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</si>
  <si>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</si>
  <si>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</si>
  <si>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</si>
  <si>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</si>
  <si>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</si>
  <si>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</si>
  <si>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</si>
  <si>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</si>
  <si>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</si>
  <si>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</si>
  <si>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</si>
  <si>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</si>
  <si>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</si>
  <si>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</si>
  <si>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</si>
  <si>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</si>
  <si>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</si>
  <si>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</si>
  <si>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</si>
  <si>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</si>
  <si>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</si>
  <si>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</si>
  <si>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</si>
  <si>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</si>
  <si>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</si>
  <si>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</si>
  <si>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</si>
  <si>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</si>
  <si>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</si>
  <si>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</si>
  <si>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</si>
  <si>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</si>
  <si>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</si>
  <si>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</si>
  <si>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</si>
  <si>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</si>
  <si>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</si>
  <si>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</si>
  <si>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</si>
  <si>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</si>
  <si>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</si>
  <si>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</si>
  <si>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</si>
  <si>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</si>
  <si>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</si>
  <si>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</si>
  <si>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</si>
  <si>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</si>
  <si>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</si>
  <si>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</si>
  <si>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</si>
  <si>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</si>
  <si>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</si>
  <si>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</si>
  <si>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</si>
  <si>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</si>
  <si>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</si>
  <si>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</si>
  <si>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</si>
  <si>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</si>
  <si>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</si>
  <si>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</si>
  <si>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</si>
  <si>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</si>
  <si>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</si>
  <si>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</si>
  <si>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</si>
  <si>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</si>
  <si>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</si>
  <si>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</si>
  <si>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</si>
  <si>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</si>
  <si>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</si>
  <si>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</si>
  <si>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</si>
  <si>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</si>
  <si>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</si>
  <si>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</si>
  <si>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</si>
  <si>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</si>
  <si>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</si>
  <si>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</si>
  <si>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</si>
  <si>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</si>
  <si>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</si>
  <si>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</si>
  <si>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</si>
  <si>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</si>
  <si>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</si>
  <si>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</si>
  <si>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</si>
  <si>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</si>
  <si>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</si>
  <si>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</si>
  <si>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</si>
  <si>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</si>
  <si>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</si>
  <si>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</si>
  <si>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</si>
  <si>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</si>
  <si>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</si>
  <si>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</si>
  <si>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</si>
  <si>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</si>
  <si>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</si>
  <si>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</si>
  <si>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</si>
  <si>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</si>
  <si>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</si>
  <si>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</si>
  <si>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</si>
  <si>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</si>
  <si>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</si>
  <si>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</si>
  <si>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</si>
  <si>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</si>
  <si>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</si>
  <si>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</si>
  <si>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</si>
  <si>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</si>
  <si>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</si>
  <si>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</si>
  <si>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</si>
  <si>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</si>
  <si>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</si>
  <si>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</si>
  <si>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</si>
  <si>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</si>
  <si>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</si>
  <si>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</si>
  <si>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</si>
  <si>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</si>
  <si>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</si>
  <si>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</si>
  <si>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</si>
  <si>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</si>
  <si>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</si>
  <si>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</si>
  <si>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</si>
  <si>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</si>
  <si>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</si>
  <si>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</si>
  <si>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</si>
  <si>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</si>
  <si>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</si>
  <si>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</si>
  <si>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</si>
  <si>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</si>
  <si>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</si>
  <si>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</si>
  <si>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</si>
  <si>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</si>
  <si>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</si>
  <si>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</si>
  <si>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</si>
  <si>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</si>
  <si>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</si>
  <si>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</si>
  <si>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</si>
  <si>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</si>
  <si>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</si>
  <si>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</si>
  <si>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</si>
  <si>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</si>
  <si>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</si>
  <si>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</si>
  <si>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</si>
  <si>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</si>
  <si>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</si>
  <si>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</si>
  <si>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</si>
  <si>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</si>
  <si>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</si>
  <si>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</si>
  <si>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</si>
  <si>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</si>
  <si>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</si>
  <si>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</si>
  <si>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</si>
  <si>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</si>
  <si>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</si>
  <si>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</si>
  <si>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</si>
  <si>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</si>
  <si>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</si>
  <si>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</si>
  <si>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</si>
  <si>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</si>
  <si>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</si>
  <si>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</si>
  <si>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</si>
  <si>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</si>
  <si>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</si>
  <si>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</si>
  <si>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</si>
  <si>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</si>
  <si>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</si>
  <si>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</si>
  <si>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</si>
  <si>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</si>
  <si>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</si>
  <si>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</si>
  <si>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</si>
  <si>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</si>
  <si>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</si>
  <si>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</si>
  <si>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</si>
  <si>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</si>
  <si>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</si>
  <si>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</si>
  <si>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</si>
  <si>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</si>
  <si>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</si>
  <si>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</si>
  <si>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</si>
  <si>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</si>
  <si>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</si>
  <si>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</si>
  <si>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</si>
  <si>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</si>
  <si>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</si>
  <si>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</si>
  <si>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</si>
  <si>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</si>
  <si>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</si>
  <si>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</si>
  <si>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</si>
  <si>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</si>
  <si>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</si>
  <si>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</si>
  <si>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</si>
  <si>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</si>
  <si>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</si>
  <si>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</si>
  <si>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</si>
  <si>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</si>
  <si>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</si>
  <si>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</si>
  <si>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</si>
  <si>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</si>
  <si>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</si>
  <si>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</si>
  <si>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</si>
  <si>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</si>
  <si>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</si>
  <si>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</si>
  <si>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</si>
  <si>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</si>
  <si>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</si>
  <si>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</si>
  <si>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</si>
  <si>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</si>
  <si>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</si>
  <si>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</si>
  <si>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</si>
  <si>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</si>
  <si>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</si>
  <si>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</si>
  <si>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</si>
  <si>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</si>
  <si>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</si>
  <si>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</si>
  <si>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</si>
  <si>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</si>
  <si>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</si>
  <si>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</si>
  <si>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</si>
  <si>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</si>
  <si>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</si>
  <si>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</si>
  <si>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</si>
  <si>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</si>
  <si>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</si>
  <si>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</si>
  <si>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</si>
  <si>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</si>
  <si>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</si>
  <si>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</si>
  <si>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</si>
  <si>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</si>
  <si>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</si>
  <si>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</si>
  <si>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</si>
  <si>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</si>
  <si>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</si>
  <si>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</si>
  <si>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</si>
  <si>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</si>
  <si>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</si>
  <si>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</si>
  <si>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</si>
  <si>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</si>
  <si>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</si>
  <si>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</si>
  <si>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</si>
  <si>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</si>
  <si>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</si>
  <si>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</si>
  <si>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</si>
  <si>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</si>
  <si>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</si>
  <si>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</si>
  <si>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</si>
  <si>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</si>
  <si>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</si>
  <si>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</si>
  <si>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</si>
  <si>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</si>
  <si>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</si>
  <si>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</si>
  <si>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</si>
  <si>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</si>
  <si>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</si>
  <si>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</si>
  <si>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</si>
  <si>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</si>
  <si>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</si>
  <si>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</si>
  <si>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</si>
  <si>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</si>
  <si>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</si>
  <si>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</si>
  <si>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</si>
  <si>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</si>
  <si>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</si>
  <si>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</si>
  <si>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</si>
  <si>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</si>
  <si>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</si>
  <si>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</si>
  <si>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</si>
  <si>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</si>
  <si>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</si>
  <si>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</si>
  <si>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</si>
  <si>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</si>
  <si>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</si>
  <si>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</si>
  <si>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</si>
  <si>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</si>
  <si>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</si>
  <si>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</si>
  <si>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</si>
  <si>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</si>
  <si>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</si>
  <si>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</si>
  <si>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</si>
  <si>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</si>
  <si>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</si>
  <si>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</si>
  <si>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</si>
  <si>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</si>
  <si>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</si>
  <si>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</si>
  <si>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</si>
  <si>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</si>
  <si>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</si>
  <si>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</si>
  <si>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</si>
  <si>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</si>
  <si>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</si>
  <si>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</si>
  <si>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</si>
  <si>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</si>
  <si>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</si>
  <si>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</si>
  <si>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</si>
  <si>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</si>
  <si>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</si>
  <si>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</si>
  <si>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</si>
  <si>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</si>
  <si>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</si>
  <si>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</si>
  <si>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</si>
  <si>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</si>
  <si>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</si>
  <si>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</si>
  <si>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</si>
  <si>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</si>
  <si>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</si>
  <si>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</si>
  <si>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</si>
  <si>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</si>
  <si>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</si>
  <si>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</si>
  <si>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</si>
  <si>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</si>
  <si>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</si>
  <si>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</si>
  <si>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</si>
  <si>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</si>
  <si>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</si>
  <si>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</si>
  <si>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</si>
  <si>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</si>
  <si>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</si>
  <si>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</si>
  <si>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</si>
  <si>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</si>
  <si>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</si>
  <si>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</si>
  <si>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</si>
  <si>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</si>
  <si>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</si>
  <si>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</si>
  <si>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</si>
  <si>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</si>
  <si>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</si>
  <si>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</si>
  <si>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</si>
  <si>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</si>
  <si>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</si>
  <si>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</si>
  <si>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</si>
  <si>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</si>
  <si>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</si>
  <si>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</si>
  <si>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</si>
  <si>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</si>
  <si>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</si>
  <si>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</si>
  <si>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</si>
  <si>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</si>
  <si>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</si>
  <si>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</si>
  <si>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</si>
  <si>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</si>
  <si>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</si>
  <si>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</si>
  <si>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</si>
  <si>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</si>
  <si>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</si>
  <si>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</si>
  <si>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</si>
  <si>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</si>
  <si>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</si>
  <si>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</si>
  <si>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</si>
  <si>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</si>
  <si>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</si>
  <si>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</si>
  <si>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</si>
  <si>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</si>
  <si>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</si>
  <si>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</si>
  <si>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</si>
  <si>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</si>
  <si>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</si>
  <si>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</si>
  <si>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</si>
  <si>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</si>
  <si>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</si>
  <si>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</si>
  <si>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</si>
  <si>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</si>
  <si>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</si>
  <si>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</si>
  <si>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</si>
  <si>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</si>
  <si>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</si>
  <si>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</si>
  <si>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</si>
  <si>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</si>
  <si>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</si>
  <si>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</si>
  <si>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</si>
  <si>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</si>
  <si>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</si>
  <si>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</si>
  <si>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</si>
  <si>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</si>
  <si>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</si>
  <si>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</si>
  <si>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</si>
  <si>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</si>
  <si>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</si>
  <si>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</si>
  <si>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</si>
  <si>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</si>
  <si>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</si>
  <si>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</si>
  <si>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</si>
  <si>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</si>
  <si>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</si>
  <si>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</si>
  <si>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</si>
  <si>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</si>
  <si>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</si>
  <si>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</si>
  <si>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</si>
  <si>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</si>
  <si>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</si>
  <si>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</si>
  <si>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</si>
  <si>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</si>
  <si>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</si>
  <si>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</si>
  <si>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</si>
  <si>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</si>
  <si>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</si>
  <si>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</si>
  <si>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</si>
  <si>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</si>
  <si>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</si>
  <si>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</si>
  <si>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</si>
  <si>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</si>
  <si>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</si>
  <si>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</si>
  <si>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</si>
  <si>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</si>
  <si>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</si>
  <si>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</si>
  <si>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</si>
  <si>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</si>
  <si>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</si>
  <si>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</si>
  <si>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</si>
  <si>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</si>
  <si>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</si>
  <si>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</si>
  <si>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</si>
  <si>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</si>
  <si>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</si>
  <si>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</si>
  <si>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</si>
  <si>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</si>
  <si>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</si>
  <si>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</si>
  <si>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</si>
  <si>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</si>
  <si>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</si>
  <si>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</si>
  <si>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</si>
  <si>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</si>
  <si>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</si>
  <si>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</si>
  <si>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</si>
  <si>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</si>
  <si>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</si>
  <si>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</si>
  <si>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</si>
  <si>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</si>
  <si>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</si>
  <si>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</si>
  <si>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</si>
  <si>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</si>
  <si>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</si>
  <si>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</si>
  <si>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</si>
  <si>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</si>
  <si>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</si>
  <si>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</si>
  <si>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</si>
  <si>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</si>
  <si>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</si>
  <si>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</si>
  <si>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</si>
  <si>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</si>
  <si>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</si>
  <si>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</si>
  <si>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</si>
  <si>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</si>
  <si>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</si>
  <si>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</si>
  <si>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</si>
  <si>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</si>
  <si>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</si>
  <si>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</si>
  <si>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</si>
  <si>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</si>
  <si>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</si>
  <si>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</si>
  <si>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</si>
  <si>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</si>
  <si>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</si>
  <si>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</si>
  <si>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</si>
  <si>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</si>
  <si>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</si>
  <si>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</si>
  <si>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</si>
  <si>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</si>
  <si>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</si>
  <si>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</si>
  <si>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</si>
  <si>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</si>
  <si>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</si>
  <si>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</si>
  <si>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</si>
  <si>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</si>
  <si>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</si>
  <si>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</si>
  <si>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</si>
  <si>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</si>
  <si>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</si>
  <si>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</si>
  <si>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</si>
  <si>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</si>
  <si>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</si>
  <si>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</si>
  <si>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</si>
  <si>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</si>
  <si>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</si>
  <si>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</si>
  <si>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</si>
  <si>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</si>
  <si>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</si>
  <si>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</si>
  <si>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</si>
  <si>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</si>
  <si>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</si>
  <si>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</si>
  <si>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</si>
  <si>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</si>
  <si>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</si>
  <si>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</si>
  <si>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</si>
  <si>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</si>
  <si>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</si>
  <si>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</si>
  <si>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</si>
  <si>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</si>
  <si>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</si>
  <si>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</si>
  <si>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</si>
  <si>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</si>
  <si>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</si>
  <si>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</si>
  <si>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</si>
  <si>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</si>
  <si>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</si>
  <si>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</si>
  <si>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</si>
  <si>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</si>
  <si>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</si>
  <si>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</si>
  <si>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</si>
  <si>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</si>
  <si>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</si>
  <si>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</si>
  <si>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</si>
  <si>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</si>
  <si>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</si>
  <si>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</si>
  <si>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</si>
  <si>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</si>
  <si>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</si>
  <si>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</si>
  <si>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</si>
  <si>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</si>
  <si>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</si>
  <si>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</si>
  <si>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</si>
  <si>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</si>
  <si>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</si>
  <si>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</si>
  <si>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</si>
  <si>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</si>
  <si>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</si>
  <si>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</si>
  <si>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</si>
  <si>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</si>
  <si>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</si>
  <si>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</si>
  <si>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</si>
  <si>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</si>
  <si>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</si>
  <si>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</si>
  <si>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</si>
  <si>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</si>
  <si>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</si>
  <si>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</si>
  <si>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</si>
  <si>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</si>
  <si>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</si>
  <si>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</si>
  <si>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</si>
  <si>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</si>
  <si>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</si>
  <si>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</si>
  <si>
    <t>0494b53f-d03c-42ff-b7c8-f5185babe0e9</t>
  </si>
  <si>
    <t>The Depths of Yoth</t>
  </si>
  <si>
    <t>TDOY</t>
  </si>
  <si>
    <t>4ee386b3-19fe-4718-8546-d092ae121791</t>
  </si>
  <si>
    <t>AV</t>
  </si>
  <si>
    <t>Handcuffs</t>
  </si>
  <si>
    <t>Item. Police.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</si>
  <si>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</si>
  <si>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e18601aa-21ed-4468-8e2c-a613bfd1f75a</t>
  </si>
  <si>
    <t>Blood Eclipse</t>
  </si>
  <si>
    <t>As an additional cost to play Blood Eclipse, take up to 3 damage._x000D_
Fight. This attack uses ά instead of ή. You get +1 ά and deal +1 damage for this attack for each damage taken as part of this card's cost.</t>
  </si>
  <si>
    <t>336f8a91-80d9-4e56-9319-9c54d177472e</t>
  </si>
  <si>
    <t>Feed the Mind</t>
  </si>
  <si>
    <t>Uses (3 secrets)._x000D_
η Exhaust Feed the Mind and spend 1 secret: Test έ (0). For each point you succeed by, draw 1 card. Then, take 1 horror for each card in your hand in excess of your maximum hand size.</t>
  </si>
  <si>
    <t>80f17c0a-b83a-4005-b263-0266b7b6b706</t>
  </si>
  <si>
    <t>Colt Vest Pocket</t>
  </si>
  <si>
    <t>Uses (5 ammo)._x000D_
η Spend 1 ammo: Fight. You get +1 ή for this attack. This attack deals +1 damage._x000D_
Forced - At the end of the round: Discard Colt Vest Pocket.</t>
  </si>
  <si>
    <t>2fbc296b-cf99-4e32-bafe-b5b7f2f184cd</t>
  </si>
  <si>
    <t>Coup de Grâce</t>
  </si>
  <si>
    <t>Tactic. Fated.</t>
  </si>
  <si>
    <t>Deal 1 damage to an enemy at your location. If this effect defeats that enemy, draw 1 card. If it is your turn, end your turn. This action does not provoke attacks of opportunity.</t>
  </si>
  <si>
    <t>4e70891d-c8cf-4b97-af2e-01f295ebf389</t>
  </si>
  <si>
    <t>The Skeleton Key</t>
  </si>
  <si>
    <t>Exceptional. Fast._x000D_
η: Attach The Skeleton Key to your location. If it is already attached to your location, detach it and return it to your play area instead._x000D_
Set the attached location's shroud value to 1.</t>
  </si>
  <si>
    <t>df1b6b4d-f263-4c9a-9a30-6ed8c1353208</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</si>
  <si>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</si>
  <si>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655e57bc-72fc-4bb6-b971-dc8cb8d96519</t>
  </si>
  <si>
    <t>Winging It</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</si>
  <si>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</si>
  <si>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2990c62d-efff-4442-9084-97e491b814e6</t>
  </si>
  <si>
    <t>Old Hunting Rifle</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</si>
  <si>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</si>
  <si>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83868b15-c1e5-40b7-b248-e7bb29904491</t>
  </si>
  <si>
    <t>Thermos</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</si>
  <si>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</si>
  <si>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d8c9c917-aec2-4bc1-93dc-3b3cd1d44135</t>
  </si>
  <si>
    <t>Hemispheric Map</t>
  </si>
  <si>
    <t>While your current location is connected to at least 2 other locations, you get +1 ά and +1 έ._x000D_
While your current location is connected to at least 4 other locations, you get an additional +1 ά and +1 έ.</t>
  </si>
  <si>
    <t>6705ff5f-bf95-4310-83d6-30fb1684e8ae</t>
  </si>
  <si>
    <t>Timeworn Brand</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</si>
  <si>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</si>
  <si>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6876db05-c1e2-4e46-b172-1739f700f716</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</si>
  <si>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</si>
  <si>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</si>
  <si>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3fc2759d-a3a7-45b2-be16-854895115bbc</t>
  </si>
  <si>
    <t>The Descent Begins</t>
  </si>
  <si>
    <t>City of the Damned</t>
  </si>
  <si>
    <t>Find the enemy that is in pursuit with the highest evade value, and spawn it in the location where the investigators began at this depth level.</t>
  </si>
  <si>
    <t>464121d8-849d-4945-a07d-7169286e7369</t>
  </si>
  <si>
    <t>Horrific Descent</t>
  </si>
  <si>
    <t>Fountain of Venom</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</si>
  <si>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</si>
  <si>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de6357c3-3817-404d-9272-8060ee0763f1</t>
  </si>
  <si>
    <t>Endless Caverns</t>
  </si>
  <si>
    <t>Deep below the Earth</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</si>
  <si>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</si>
  <si>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94b133fb-3875-4499-be79-a7bfbab1b78e</t>
  </si>
  <si>
    <t>City of Blood</t>
  </si>
  <si>
    <t>The Sleeper's Pursuit</t>
  </si>
  <si>
    <t>If the Harbinger of Valusia is set aside, move it to the pursuit area._x000D_
Find the enemy that is in pursuit with the highest evade value, and spawn it at the location where the investigators began at this depth level.</t>
  </si>
  <si>
    <t>4a422def-881a-45e7-aeb8-31c4defb0e7c</t>
  </si>
  <si>
    <t>Fury That Shakes the Earth</t>
  </si>
  <si>
    <t>Forced - After the third doom is placed on this agenda: Find the enemy that is in pursuit with the highest evade value, and spawn it at the location where the investigators began at this depth level.</t>
  </si>
  <si>
    <t>Yig Emerges</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</si>
  <si>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</si>
  <si>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3055b330-ea7e-47b0-8b7b-0db55b041b2e</t>
  </si>
  <si>
    <t>The Red Depths</t>
  </si>
  <si>
    <t>Forced - After any amount of doom is placed on this agenda: Find the enemy that is in pursuit with the highest evade value, and spawn it at the location where the investigators began at this depth level.</t>
  </si>
  <si>
    <t>The Serpents' Final Bite</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</si>
  <si>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</si>
  <si>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895f706a-3263-4cc1-b5ff-3fc157def818</t>
  </si>
  <si>
    <t>VENGEANCE</t>
  </si>
  <si>
    <t>Forced - At the end of the 'check doom threshold' step of the mythos phase: The investigators must draw 1 additional encounter card for each doom in play, in player order._x000D_
Objective - If each investigator is defeated, advance this agenda.</t>
  </si>
  <si>
    <t>The Chasm</t>
  </si>
  <si>
    <t>1f204153-9aa1-4c95-9e5d-deb7b8b16481</t>
  </si>
  <si>
    <t>Journey to the Nexus</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</si>
  <si>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</si>
  <si>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One Level Deeper</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</si>
  <si>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</si>
  <si>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1ec867c4-b0c0-42e4-8b6a-f57f83c74eca</t>
  </si>
  <si>
    <t>Steps of Yoth</t>
  </si>
  <si>
    <t>Ancient. Forgotten. Yoth.</t>
  </si>
  <si>
    <t>ι When adding to the current depth level, if investigators at Steps of Yoth possess 5π clues as a group, an investigator at Steps of Yoth crosses rope off from his or her supplies: Add 1 additional resource to the current depth level. (Max once per game.)</t>
  </si>
  <si>
    <t>93d0dc54-236b-40c9-abb0-60fac45d6b04</t>
  </si>
  <si>
    <t>City of the Serpents</t>
  </si>
  <si>
    <t>Ancient. Cave. Yoth.</t>
  </si>
  <si>
    <t>While City of the Serpents has no clues on it, it is considered to be in the victory display (for the purposes of counting vengeance).</t>
  </si>
  <si>
    <t>0b0c6e37-8804-4eb2-a2e3-dfa2b6666114</t>
  </si>
  <si>
    <t>Hall of Heresy</t>
  </si>
  <si>
    <t>While an investigator is in Hall of Heresy, it is considered to be in the victory display (for the purposes of counting vengeance).</t>
  </si>
  <si>
    <t>41fa1d15-e606-486f-bbc0-3c59a68e7ae4</t>
  </si>
  <si>
    <t>Crumbling Precipice</t>
  </si>
  <si>
    <t>Forced - When you attempt to explore while at Crumbling Precipice: Test ά (4). If you fail, test ί (3). If you fail, test ή (2). If you fail, you fall to your death and are killed. (If you succeed at any of these tests, you explore as usual.)</t>
  </si>
  <si>
    <t>07ac1e64-3486-4504-b111-359b9049fa2f</t>
  </si>
  <si>
    <t>Caverns of Yoth</t>
  </si>
  <si>
    <t>Forced - After Caverns of Yoth enters play: Place clues on it equal to the current depth level.</t>
  </si>
  <si>
    <t>b94c4560-7fe7-4d19-aea8-e0cac3781d47</t>
  </si>
  <si>
    <t>Forked Path</t>
  </si>
  <si>
    <t>Forced - When you explore while at Forked Path, check your supplies. If you have a map: Continue drawing cards from the exploration deck until you have drawn 2 connecting locations, if able. Put both of those locations into play and choose 1 to move to.</t>
  </si>
  <si>
    <t>84d4bc64-aa84-4ede-a0eb-ab858ad14ded</t>
  </si>
  <si>
    <t>Bridge over N'kai</t>
  </si>
  <si>
    <t>Bridge over N'kai gets +1 shroud for each vengeance point in the victory display.</t>
  </si>
  <si>
    <t>1b7152da-96ae-4bd9-a778-23bbcb4a3ed3</t>
  </si>
  <si>
    <t>Broken Passage</t>
  </si>
  <si>
    <t>Forced - When you explore while at Broken Passage, check your supplies. If you do not have a pickaxe: Place 1 doom on Broken Passage.</t>
  </si>
  <si>
    <t>48708e1a-6021-40d0-ad6c-7d9a5ef894ad</t>
  </si>
  <si>
    <t>Abandoned Site</t>
  </si>
  <si>
    <t>X is the current depth level.</t>
  </si>
  <si>
    <t>e6a9042c-94a9-4ee1-b485-c74086f2a36a</t>
  </si>
  <si>
    <t>Bright Canyon</t>
  </si>
  <si>
    <t>Forced - After you enter Bright Canyon, if you are poisoned: Take 1 damage._x000D_
η: Check your supplies. If you have binoculars, discover 2 clues on Bright Canyon. (Group limit once each depth level.)</t>
  </si>
  <si>
    <t>736032a4-bfdd-408e-8547-5148a271bc34</t>
  </si>
  <si>
    <t>Yig</t>
  </si>
  <si>
    <t>The Father of Serpents</t>
  </si>
  <si>
    <t>Ancient One. Serpent. Elite.</t>
  </si>
  <si>
    <t>Hunter. Massive._x000D_
Yig gets +6π health._x000D_
Yig cannot be damaged while there is another ready [[Serpent]] enemy at its location._x000D_
Each other [[Serpent]] enemy at Yig's location gains alert and retaliate.</t>
  </si>
  <si>
    <t>fd16f750-79d2-432a-ad22-410720cd76b0</t>
  </si>
  <si>
    <t>Pit Warden</t>
  </si>
  <si>
    <t>Spawn - If Yig is in play, spawn Pit Warden at Yig's location. Otherwise, place Pit Warden in the pursuit area._x000D_
Hunter.</t>
  </si>
  <si>
    <t>47ce8ab2-7c1c-4f16-8940-125a8ba009e1</t>
  </si>
  <si>
    <t>Eater of the Depths</t>
  </si>
  <si>
    <t>Spawn - Put a random set-aside location into play and spawn Eater of the Depths there._x000D_
Hunter. Massive._x000D_
X is the current depth level.</t>
  </si>
  <si>
    <t>7896d01c-88e8-4cd3-b8ba-d5f90e85c7f3</t>
  </si>
  <si>
    <t>Children of Valusia</t>
  </si>
  <si>
    <t>Revelation - Put Children of Valusia into play next to the agenda deck._x000D_
Each [[Serpent]] enemy gets +1 fight and +1 evade._x000D_
Forced - At the end of the round: Discard 1 copy of Children of Valusia from play. (Max once per round.)</t>
  </si>
  <si>
    <t>7df4c15d-ddbe-4f7e-967e-7b584a6a864d</t>
  </si>
  <si>
    <t>Lightless Shadow</t>
  </si>
  <si>
    <t>Revelation - Test ί (1). This test gets +X difficulty, where X is the current depth level. If you fail, take 2 damage.</t>
  </si>
  <si>
    <t>fc7b7c62-7ef8-41c7-8574-27a8cdbeb1d8</t>
  </si>
  <si>
    <t>Bathophobia</t>
  </si>
  <si>
    <t>Revelation - Test ά (1). This test gets +X difficulty, where X is the current depth level. If you fail, take 2 horror.</t>
  </si>
  <si>
    <t>e9c86453-9774-48e1-8884-24feefa208ab</t>
  </si>
  <si>
    <t>Serpent's Ire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</si>
  <si>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</si>
  <si>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e672cb77-056e-4f2e-95ba-3a8484e751c7</t>
  </si>
  <si>
    <t>Repossess the Past</t>
  </si>
  <si>
    <t>θ Exhaust Relic of Ages: Test ά or έ (4). If you succeed, remove 1 doom from any card in play. (Max one success per game.)</t>
  </si>
  <si>
    <t>16ba646f-1232-48eb-9489-8650ce9c2094</t>
  </si>
  <si>
    <t>62050909-0089-4686-9ce5-12d9e7af2869</t>
  </si>
  <si>
    <t>Shattered Aeons</t>
  </si>
  <si>
    <t>The Labyrinths of Lunacy</t>
  </si>
  <si>
    <t>SHA</t>
  </si>
  <si>
    <t>LOL</t>
  </si>
  <si>
    <t>04d5f69a-a40f-49ac-914f-fa53687ea7b9</t>
  </si>
  <si>
    <t>AW</t>
  </si>
  <si>
    <t>Kerosene</t>
  </si>
  <si>
    <t>Uses (3 supplies). If Kerosene has no supplies, discard it._x000D_
η If an enemy was defeated at this location this round, exhaust Kerosene and spend 1 supply: Heal up to 2 horror from among investigators and [[Ally]] assets at your location.</t>
  </si>
  <si>
    <t>2d5a7b01-f50d-42a3-8db3-3c383cb17912</t>
  </si>
  <si>
    <t>Flamethrower</t>
  </si>
  <si>
    <t>Body. Hand x2</t>
  </si>
  <si>
    <t>Uses (4 ammo)._x000D_
η Spend 1 ammo: Fight. The enemy chosen for this attack must be the enemy engaged with you with the highest fight. You get +4 ή for this attack. If this attack is successful, instead of its standard damage, you may assign up to 4 damage among enemies engaged with you (any additional damage adds to this total).</t>
  </si>
  <si>
    <t>4bdb5e96-f6c5-488a-8c78-d71183239041</t>
  </si>
  <si>
    <t>Vantage Point</t>
  </si>
  <si>
    <t>Fast. Play after a location enters play or is revealed during an investigator's turn._x000D_
Until the end of the active investigator's turn, that location gets -1 shroud. You may move 1 clue to that location from any other location.</t>
  </si>
  <si>
    <t>b4b13e0c-abd7-4a1e-93f7-0781cab068ee</t>
  </si>
  <si>
    <t>Pnakotic Manuscripts</t>
  </si>
  <si>
    <t>Mind-Expanding Ideas</t>
  </si>
  <si>
    <t>Item. Relic. Tome.</t>
  </si>
  <si>
    <t>Uses (3 secrets)._x000D_
ι When an investigator at your location would perform a skill test during a revelation effect, spend 1 secret: Do not reveal chaos tokens for that test._x000D_
η Spend 1 secret: Choose an investigator at your location. Do not reveal chaos tokens for the next skill test that investigator performs this round.</t>
  </si>
  <si>
    <t>6b70667e-4179-4b6e-815b-440bef3b5606</t>
  </si>
  <si>
    <t>Borrowed Time</t>
  </si>
  <si>
    <t>Exceptional._x000D_
η: Place 1 resource on Borrowed Time, as a click (to a maximum of 3 clicks on Borrowed Time). Does not provoke attacks of opportunity._x000D_
Forced - When your turn begins: Remove all clicks from Borrowed Time. You may take that many additional actions this turn.</t>
  </si>
  <si>
    <t>3394aa3b-c35a-49d3-b1b6-bc0bc0162ff9</t>
  </si>
  <si>
    <t>Max 1 committed per skill test._x000D_
If this test is successful, draw 1 card for each point you succeeded by, to a maximum of 5. Shuffle each weakness drawn by this effect back into your deck without resolving it.</t>
  </si>
  <si>
    <t>5e413d84-f3e8-4c40-8b83-fe1e69f73c6c</t>
  </si>
  <si>
    <t>Shards of the Void</t>
  </si>
  <si>
    <t>Seal (0). Uses (3 charges)._x000D_
η Spend 1 charge or release a chaos token sealed here: Fight. This attack uses ά instead of ή and deals +1 damage. You get +2 ά for this attack for each "0" token sealed on Shards of the Void. For each "0" token revealed during this attack, seal that token on Shards of the Void and this attack deals 1 additional damage.</t>
  </si>
  <si>
    <t>36561aa6-4bce-494e-80ec-c98b80088213</t>
  </si>
  <si>
    <t>Seal of the Seventh Sign</t>
  </si>
  <si>
    <t>Over the Threshold and Beyond</t>
  </si>
  <si>
    <t>Spell. Ritual.</t>
  </si>
  <si>
    <t>Seal (ζ). Uses (7 charges). If Seal of the Seventh Sign has no charges, or if it leaves play, remove it from the game._x000D_
Forced - After a α, β, γ, or δ token is revealed during any skill test: Remove 1 charge from Seal of the Seventh Sign.</t>
  </si>
  <si>
    <t>52209ebb-4ac1-4b38-b47e-a85fb7ff22c0</t>
  </si>
  <si>
    <t>Impromptu Barrier</t>
  </si>
  <si>
    <t>You may play Impromptu Barrier from your discard pile. If you do, shuffle it into your deck after resolving its effects._x000D_
Evade. The chosen enemy gets -1 evade for this evasion attempt. (If you played Impromptu Barrier from your discard pile, you may evade an additional enemy at the same location with evade X or lower. X is the amount you succeed by.)</t>
  </si>
  <si>
    <t>f981c0dc-32f1-4646-b3a2-d93d45ba37d1</t>
  </si>
  <si>
    <t>Alter Fate</t>
  </si>
  <si>
    <t>Fast. Play during any θ player window._x000D_
Choose and discard from play a non-weakness treachery that is not attached to an [[Elite]] enemy.</t>
  </si>
  <si>
    <t>9595aa3f-07ec-4d79-8d74-b8a79256e49f</t>
  </si>
  <si>
    <t>α: -1 (-4 instead if the Relic of Ages is at your location).
β: -2. If you do not succeed by at least 1, place 1 doom on the nearest [β] enemy.
γ: -2. If you are poisoned, this test automatically fails instead.
δ: -2. If you fail, shuffle the topmost [[hex]] treachery in the encounter discard pile into the exploration deck.</t>
  </si>
  <si>
    <t>α: -2 (-5 instead if the Relic of Ages is at your location).
β: -3. Place 1 doom on each [β] enemy.
γ: -3. If you are poisoned, this test automatically fails instead. If you are not poisoned and you fail, put a set-aside Poisoned weakness into play in your threat area.
δ: -3. Shuffle the topmost [[hex]] treachery in the encounter discard pile into the exploration deck.</t>
  </si>
  <si>
    <t>72c7e19e-d6f4-4b52-881d-50a629959432</t>
  </si>
  <si>
    <t>Threads of Time</t>
  </si>
  <si>
    <t>Forced - If an investigator with the Relic of Ages in his or her hand, deck, discard pile, or play area is eliminated: Immediately advance to agenda 3b.</t>
  </si>
  <si>
    <t>Shuffle the encounter discard pile into the encounter deck.
Spawn the set-aside Formless Spawn in the Nexus of N'kai.
Place this card in the victory display. It gains Vengeance 1.</t>
  </si>
  <si>
    <t>1d947ab7-49e3-4937-82ec-65194ac53c69</t>
  </si>
  <si>
    <t>Pendulous Threads</t>
  </si>
  <si>
    <t>Shuffle the encounter discard pile into the encounter deck.
If Formless Spawn is in play, place 2 doom on the Nexus of N'kai. If Formless Spawn is in the victory display, shuffle it into the encounter deck.
Place this card in the victory display. It gains Vengeance 1.</t>
  </si>
  <si>
    <t>11348581-4801-44e1-b463-1ea2d11bd9a4</t>
  </si>
  <si>
    <t>Snapped Threads</t>
  </si>
  <si>
    <t>(-&gt;R4)</t>
  </si>
  <si>
    <t>b42714b0-c093-4cb4-a2f9-63cd2522369d</t>
  </si>
  <si>
    <t>Worlds Beyond</t>
  </si>
  <si>
    <t>Forced - When an enemy would spawn at an empty location and there are no empty locations in play: Reveal cards from the exploration deck until a location is revealed. Put that location into play and spawn that enemy there. Shuffle the exploration deck.</t>
  </si>
  <si>
    <t>Shuffle the set-aside A Pocket in Time location into the exploration deck.</t>
  </si>
  <si>
    <t>871beb2e-a160-4e9e-97a2-ca45c7e74453</t>
  </si>
  <si>
    <t>Search for the Brotherhood</t>
  </si>
  <si>
    <t>Objective - If an investigator enters A Pocket in Time, advance.</t>
  </si>
  <si>
    <t>Shuffle the set-aside [[shattered]] locations into the exploration deck. Each investigator shuffles the topmost treachery in the encounter discard pile into the exploration deck.
Check Campaign Log.
Attach the set-aside Relic of Ages to A Pocket in Time, under no investigator's control.
Advance to Act 3a-The Yithian Relic.</t>
  </si>
  <si>
    <t>c68b083c-875c-4bbe-be2d-a9d133b10936</t>
  </si>
  <si>
    <t>The Yithian Relic</t>
  </si>
  <si>
    <t>η: Search your deck or discard pile for the Relic of Ages and add it to your hand. Shuffle your deck.
η If the Relic of Ages is attached to your location and there are no clues on that location: Take control of the Relic of Ages.
Objective - If an investigator controls the Relic of Ages, advance.</t>
  </si>
  <si>
    <t>If Ichtaca is set against you:
Spawn the set-aside Ichtaca in the Nexus of N'kai.
If Alejandro is set against you:
"Fools! Are you blind?" Alejandro motions to the worlds before him. "Your kind stands no chance against the ravages of time."
Spawn the set-aside Alejandro in A Pocket in Time.</t>
  </si>
  <si>
    <t>4789e966-5d6b-4fe3-a3d2-e540703d96e2</t>
  </si>
  <si>
    <t>Mend the Shatter</t>
  </si>
  <si>
    <t>η If you are at a [[shattered]] location with no clues: Test ά or έ (3). If you succeed, attach your location facedown to the Relic of Ages. Each investigator and enemy at that location is moved to A Pocket in Time.
Objective - If the number of locations attached to the Relic of Ages is equal to 1 plus the number of investigators who started the game, advance.</t>
  </si>
  <si>
    <t>If Relic of Ages (Repossess the Past) is the version of the Relic of Ages that the investigators control, proceed to (-&gt;R5).
If the investigators control any other version of the Relic of Ages, proceed to (-&gt;R1).</t>
  </si>
  <si>
    <t>426e07e6-8729-484a-a0bc-73ca0281addd</t>
  </si>
  <si>
    <t>Paradise Lost</t>
  </si>
  <si>
    <t>η If you are at a [[shattered]] location with no clues: Test ά or έ (3). If you succeed, attach your location facedown to the Relic of Ages. Each investigator and enemy at that location is moved to A Pocket in Time.
Objective - If Valusia is attached to the Relic of Ages, advance.</t>
  </si>
  <si>
    <t>1d817dd9-032c-441b-a49f-0efdce77d3be</t>
  </si>
  <si>
    <t>Timelock</t>
  </si>
  <si>
    <t>η If you are at a [[shattered]] location with no clues: Test ά or έ (3). If you succeed, attach your location facedown to the Relic of Ages. Each investigator and enemy at that location is moved to A Pocket in Time.
Objective - If Pnakotus is attached to the Relic of Ages, advance.</t>
  </si>
  <si>
    <t>(-&gt;R3)</t>
  </si>
  <si>
    <t>9964782a-d79b-452f-8e16-20a890f9f700</t>
  </si>
  <si>
    <t>Nexus of N'kai</t>
  </si>
  <si>
    <t>Unraveling the Threads</t>
  </si>
  <si>
    <t>Forced - After you move from Nexus of N'kai to an [[otherworld]] location, or vice versa: Take 1 horror for each clue on that [[otherworld]] location.
η: Explore. Draw the top card of the exploration deck. If it is a connecting location, put it into play and move to it. Do not take horror from the above Forced ability when moving via this effect.</t>
  </si>
  <si>
    <t>74080182-a727-4a63-98b0-42e0909e4bdc</t>
  </si>
  <si>
    <t>Yig's Mercy</t>
  </si>
  <si>
    <t>Check Campaign Log. If there are 16 or more tally marks under "Yig's Fury":
Ichtaca refuses your plea. Flip this card back over.
If there are 15 or fewer tally marks:
Ichtaca ceases her assault and listens to your words. "Valusia must be returned to glory. There is no other way," she decrees with bitter certainty. "Help us to achieve this goal, and you can join with us. Yig will remake you in his image, and we shall live together in our timeless paradise of Valusia."
The investigators must decide (choose one):
"I could never turn my back on humanity!" Flip this card back over. For the remainder of the scenario, you cannot parley with Ichtaca.
"I accept." Remove this card and Act 4a "Mend the Shatter" from the game and advance to the set-aside Act 4a "Paradise Lost". For the remainder of the scenario, you cannot parley with Alejandro Vela, and [[serpent]] enemies do not engage or attack you.</t>
  </si>
  <si>
    <t>Hunter. Retaliate.
η: Parley. Test έ (5) to plead for your life. If a β symbol is revealed during this test, you automatically succeed. If you fail, Ichtaca attacks you. If you succeed, flip this card over and resolve its text.</t>
  </si>
  <si>
    <t>bbe64a25-336f-4deb-a46c-6dfb3909b5dd</t>
  </si>
  <si>
    <t>Another Way</t>
  </si>
  <si>
    <t>Alejandro -if it is really him beneath that guise of humanity- contemplates your words. "Very well. We will spare you, but only if you assist the Brotherhood." He motions to the gateways all around you. "Your kind was not the first to inherit the Earth. You know this, now, from your travels. We tried to get you to understand, but in your stubbornness, you would not listen. Hear me now. The creatures that drove us to ruin will return. They will wipe humanity off this planet, and the only evidence of your existence will live on in Pnakotus. But together we can stop them. Join us, and you may yet save the Earth and yourselves."
The investigators must decide (choose one):
"I could never turn my back on humanity!" Flip this card back over. For the remainder of the scenario, you cannot parley with Alejandro Vela.
"I accept." Remove this card and Act 4a "Mend the Shatter" from the game and advance to the set-aside Act 4a "Timelock". For the remainder of the scenario, you cannot parley with Ichtaca, and [β] enemies do not engage or attack you.</t>
  </si>
  <si>
    <t>Alert. Hunter.
η: Parley. Test έ (5) to plead for your life. If a γ symbol is revealed during this test, you automatically succeed. If you fail, Alejandro Vela attacks you. If you succeed, flip this card over and resolve its text.</t>
  </si>
  <si>
    <t>6490e55a-3fe2-4c4d-a1c4-4a135eb67270</t>
  </si>
  <si>
    <t>Yuggoth</t>
  </si>
  <si>
    <t>η: Flip a clue on Yuggoth to its doom side. Draw 1 card.</t>
  </si>
  <si>
    <t>21e1dea3-83a0-4e12-8030-f854c05d3599</t>
  </si>
  <si>
    <t>Shores of R'lyeh</t>
  </si>
  <si>
    <t>Shores of R'lyeh gets +1 shroud for each doom on each card in Shores of R'lyeh (including itself).
Forced - After Shores of R'lyeh enters play: Place 1 doom on it.</t>
  </si>
  <si>
    <t>1d9a0644-1a4c-4458-acf8-0859124b94d7</t>
  </si>
  <si>
    <t>City of the Unseen</t>
  </si>
  <si>
    <t>Forced - After 1 or more doom is placed on a [β] enemy at City of the Unseen: Place 1 additional doom on that enemy.</t>
  </si>
  <si>
    <t>eba05542-79ba-44d4-940b-029d53705c26</t>
  </si>
  <si>
    <t>A Pocket in Time</t>
  </si>
  <si>
    <t>Extradimensional.</t>
  </si>
  <si>
    <t>Forced - After you move from A Pocket in Time to a [[shattered]] location, or vice versa: Take 1 damage for each clue on that [[shattered]] location.
η: Explore. Draw the top card of the exploration deck. If it is a connecting location, put it into play and move to it. Do not take damage from the above Forced ability when moving via this effect.</t>
  </si>
  <si>
    <t>65d2d198-22f5-442e-8470-c52b9098de7d</t>
  </si>
  <si>
    <t>Ruins of New York</t>
  </si>
  <si>
    <t>Shattered. Future. Ruins.</t>
  </si>
  <si>
    <t>Forced - After Ruins of New York enters play: Put the top card of the lead investigator's deck into play at this location, facedown (2 cards instead if there are 3 or 4 investigators in the game). Treat each of those cards as Flying Polyp enemies with 2 fight, 2 health, 2 evade, 1 damage, and the [[monster]] trait.</t>
  </si>
  <si>
    <t>8e0afc24-98cd-4e26-a6a8-6bd2fb920741</t>
  </si>
  <si>
    <t>Mu</t>
  </si>
  <si>
    <t>Shattered. Ancient.</t>
  </si>
  <si>
    <t>While you are at Mu, the first α, β, γ, or δ symbol you reveal during each skill test gains: "Reveal another token."</t>
  </si>
  <si>
    <t>08f10edb-be29-4429-8920-ea642aa7aece</t>
  </si>
  <si>
    <t>Atlantis</t>
  </si>
  <si>
    <t>Forced - After an ζ symbol is revealed during a skill test at any location: Place 1 doom on Atlantis. Then, if there are 3 or more doom on Atlantis, remove it from the game. Each enemy and investigator that was at Atlantis is defeated.</t>
  </si>
  <si>
    <t>f1d78a4e-87ae-40cf-a508-f3e6380f8013</t>
  </si>
  <si>
    <t>Pnakotus</t>
  </si>
  <si>
    <t>η If there are at least 3 γ tokens in the chaos bag or sealed on cards in play: Discover all of the clues on Pnakotus and draw that many cards. (Group limit once per game.)</t>
  </si>
  <si>
    <t>b8450b58-6cc4-4f93-b389-861a932b62dc</t>
  </si>
  <si>
    <t>Valusia</t>
  </si>
  <si>
    <t>η If there are at least 3 β tokens in the chaos bag or sealed on cards in play: Heal 2 damage and 2 horror. Set Valusia's shroud to 0 for the remainder of the game. (Group limit once per game.)</t>
  </si>
  <si>
    <t>8fab82bd-d9ba-456f-bffc-63645029a15a</t>
  </si>
  <si>
    <t>Plateau of Leng</t>
  </si>
  <si>
    <t>Shattered. Present-Day.</t>
  </si>
  <si>
    <t>Forced - If you reveal an δ symbol during a skill test at Plateau of Leng: Take 1 horror.</t>
  </si>
  <si>
    <t>f9b9ed93-13c5-48ed-9063-4d373a57fbde</t>
  </si>
  <si>
    <t>Formless Spawn</t>
  </si>
  <si>
    <t>From the Abyss</t>
  </si>
  <si>
    <t>Spawn - Nexus of N'kai.
Massive. Formless Spawn cannot move or be moved.
Formless Spawn gets +1 fight and +1 evade for each doom on each card in Nexus of N'kai .</t>
  </si>
  <si>
    <t>f5a87d07-b721-49e0-aa1e-af668db9a863</t>
  </si>
  <si>
    <t>Temporal Devourer</t>
  </si>
  <si>
    <t>Monster. Extradimensional.</t>
  </si>
  <si>
    <t>Spawn - Farthest [[shattered]] or [[extradimensional]] location. If there are no such locations in play, Temporal Devourer gains surge.
Hunter.
Forced - After Temporal Devourer enters a Shattered or Extradimensional location: Place 1 clue on that location .</t>
  </si>
  <si>
    <t>dd7befc2-f6ed-4a64-afcf-269050618bab</t>
  </si>
  <si>
    <t>Shattered Ages</t>
  </si>
  <si>
    <t>Revelation - Test ά (4). If you fail, place 1 clue on each location other than Nexus of N'kai.</t>
  </si>
  <si>
    <t>bf17be6b-e611-4bdc-98a6-4150e5041fa1</t>
  </si>
  <si>
    <t>Between Worlds</t>
  </si>
  <si>
    <t>Revelation - Put Between Worlds into play as an [[otherworld]] location with 3 shroud and 1 clue, and move to it. It is connected to the Nexus of N'kai. (If drawn from the exploration deck, this exploration is still considered unsuccessful.)
Forced - At the end of the round: Each investigator in Between Worlds takes 1 damage and 1 horror. If there are no investigators in this location, discard it and move each enemy that was here to Nexus of N'kai.</t>
  </si>
  <si>
    <t>72e4caaa-c2fc-45bd-982f-9dba075771e9</t>
  </si>
  <si>
    <t>Wracked by Time</t>
  </si>
  <si>
    <t>Revelation - Test ά (3). Each investigator at a [[shattered]] location must also perform this skill test. Each investigator who fails takes 2 damage. Each asset assigned damage by this effect that is not defeated is shuffled into its owner's deck.</t>
  </si>
  <si>
    <t>59f90626-8415-4234-961f-62d156c824fb</t>
  </si>
  <si>
    <t>Creeping Darkness</t>
  </si>
  <si>
    <t>Revelation - Attach to Nexus of N'kai. Place 1 doom on Creeping Darkness.
Formless Spawn gets +1π health.
η η: Test ά (3) or check your supplies. If you succeed, or if you have torches, Discard Creeping Shadows.</t>
  </si>
  <si>
    <t>0511e933-fe25-4020-8014-cd4c8aa23cb1</t>
  </si>
  <si>
    <t>Unleash the Timestream</t>
  </si>
  <si>
    <t>Forced - After you resolve a treachery while exploring: Shuffle that treachery back into the exploration deck instead of discarding it.</t>
  </si>
  <si>
    <t>88c8a01f-7824-4ff3-9df4-4437ec24d12e</t>
  </si>
  <si>
    <t>Turn Back Time</t>
  </si>
  <si>
    <t>α: -X . X is the number of locations with doom on them.
δ: -4. If you fail, place 1 doom on your location.</t>
  </si>
  <si>
    <t>α: -X . X is the total amount of doom on locations.
δ: -6. Place 1 doom on your location.</t>
  </si>
  <si>
    <t>24fcae1d-8f27-41b7-9b4d-f4ed826cf0e1</t>
  </si>
  <si>
    <t>Into the Ruins Once Again</t>
  </si>
  <si>
    <t>Shuffle the set-aside Chamber of Time location into the exploration deck.
Place this act in the victory display. It gains Vengeance 2.</t>
  </si>
  <si>
    <t>c802ada6-af92-4074-80db-144588d0c244</t>
  </si>
  <si>
    <t>The Chamber of Still Remains</t>
  </si>
  <si>
    <t>η: Explore. Draw the top card of the exploration deck. If it is a connecting location, put it into play and move to it.
Objective - Only investigators in the Chamber of Time may spend the requisite number of clues, as a group, to advance.</t>
  </si>
  <si>
    <t>Choose an investigator in the Chamber of Time to take control of the Relic of Ages.
Search the collection for Yig (The Forgotten Age card #296). Spawn it in the Chamber of Time.
Place this act in the victory display. It gains Vengeance 2.</t>
  </si>
  <si>
    <t>3497fd96-86dd-4b4f-af60-8cca3ecc9729</t>
  </si>
  <si>
    <t>Moment of Doom</t>
  </si>
  <si>
    <t>Relic of Ages gains: "η: Test ά or έ (4). If you succeed, flip a clue controlled by an investigator at your location to its doom side, and place it on your location. Then, deal 3 damage to Yig."
Objective - If Yig is defeated, advance.</t>
  </si>
  <si>
    <t>(-&gt;R1).</t>
  </si>
  <si>
    <t>0319b932-9c94-4643-8240-97e05e9db3a6</t>
  </si>
  <si>
    <t>AX</t>
  </si>
  <si>
    <t>Standard_x000D_
α: -1. Reveal another token._x000D_
β: -3. If you fail, place 1 of your clues on your location._x000D_
γ: -4. If you fail, lose 2 resources._x000D_
δ: -4. If you fail, discard a random card from your hand.</t>
  </si>
  <si>
    <t>Hard_x000D_
α: -1. Reveal another token. If you fail, you must either take 1&amp;nbsp;damage or 1 horror._x000D_
β: -3. Place 1 of your clues on your location._x000D_
γ: -4. Lose 2 resources._x000D_
δ: -4. Discard a random card from your hand.</t>
  </si>
  <si>
    <t>f555a583-ef14-428c-8382-f80a67ea873c</t>
  </si>
  <si>
    <t>Forced - At the end of the round, if there is at least 1 doom on this agenda and no group has yet triggered this ability: The lead investigator of Group A chooses a random set-aside [[Act 1]] story card and draws it. Announce the chosen card's title to all three groups. Each other lead investigator draws that story card.</t>
  </si>
  <si>
    <t>Hope Lingers</t>
  </si>
  <si>
    <t>Advance the current act card and follow its instructions._x000D_
When you are instructed to resolve Act 2 Setup, those setup instructions can be found in the rules booklet (use the section for your Group).</t>
  </si>
  <si>
    <t>2708956f-ddda-4207-ad70-e10c9ba99d3c</t>
  </si>
  <si>
    <t>c6c3a7fb-e872-4c2a-a533-591f191c684c</t>
  </si>
  <si>
    <t>Agony and Despair</t>
  </si>
  <si>
    <t>Forced - At the end of the round, if there is at least 1 doom on this agenda and no group has yet triggered this ability: The lead investigator of Group A chooses a random set-aside [[Act 2]] story card and draws it. Announce the chosen card's title to all three groups. Each other lead investigator draws that story card.</t>
  </si>
  <si>
    <t>Hope Fades</t>
  </si>
  <si>
    <t>Advance the current act card and follow its instructions._x000D_
When you are instructed to resolve Act 3 Setup, those setup instructions can be found in the rules booklet (use the section for your Group).</t>
  </si>
  <si>
    <t>b49fd1c7-d7a9-457c-be01-6b2dbf032b5e</t>
  </si>
  <si>
    <t>274bbc0d-1755-47ba-ab67-f2fbf3ed2a04</t>
  </si>
  <si>
    <t>The Mastermind</t>
  </si>
  <si>
    <t>Each [[distortion]] location gains:_x000D_
"η ξ4+1&amp;lt; T %2β+: &amp;lt;+@2 H &amp;lt;@6@~+ ά9 EIXODOLON. (Group limit once per game.)"_x000D_
Objective - If each investigator is defeated, advance this agenda.</t>
  </si>
  <si>
    <t>Hope is Lost</t>
  </si>
  <si>
    <t>In this timeline, the ritual is complete._x000D_
If you are playing in Epic Multiplayer Mode, move all damage from Eixodolon to another group's copy of Eixodolon._x000D_
Each investigator in this group is killed. (-&gt;R1)</t>
  </si>
  <si>
    <t>162cd2e5-78fd-49f4-bd4f-ef8b55391546</t>
  </si>
  <si>
    <t>Sealed In (Group A)</t>
  </si>
  <si>
    <t>Timed - Do not advance this act until you are instructed. By the time the agenda advances, investigators must possess the Key of Mysteries and the requisite number of clues. (Beware- If the agenda advanced and you do not meet this condition, each investigator in this group will be killed.)</t>
  </si>
  <si>
    <t>Success… Or Death</t>
  </si>
  <si>
    <t>If the investigators possess the Key of Mysteries and 2π clues:You push the key into the lock, and the wall of the chamber opens up, leading into a dark, narrow corridor of corrugated metal and concrete. The whistling of the pipes all around you dampens to a faint whimper.
The investigators spend 2π clues, as a group. Remove the Key of Mysteries from the game. Resolve Act 2 Setup.
If the investigators do not possess the Key of Mysteries and/or 2π clues:_x000D_
A powerful, noxious gas spews forth from the vents and fills the room. Your vision grow hazy and you collapse to the ground. "The fate that inevitably awaits us all," a sinister voice explains. Everything goes dark._x000D_
Each investigator in this group is killed. (-&gt;R1)</t>
  </si>
  <si>
    <t>6853489f-f727-4bea-adef-63b7751546c3</t>
  </si>
  <si>
    <t>Watery Grave (Group B)</t>
  </si>
  <si>
    <t>Timed - Do not advance this act until you are instructed. By the time the agenda advances, investigators at the same location must possess the requisite number of clues. (Beware- If the agenda advances and you do not meet this condition, the investigator in the Chamber of Rain will be killed.)</t>
  </si>
  <si>
    <t>A Slow Death</t>
  </si>
  <si>
    <t>If investigators at the same location possess 2π clues:_x000D_
You breath a sigh of relief as the water drains harmlessly._x000D_
Investigators at the same location spend 2π clues, as a group. Resolve Act 2 Setup.
If investigators at the same location do not possess 2π clues:_x000D_
The water level continues to rise. It fills the tank and then your lungs. You struggle in futility against the glass. Freedom is so close, and yet so far._x000D_
Each investigator loses each of his or her clues. _x000D_
The investigator in the Chamber of Rain is killed._x000D_
Resolve Act 2 Setup.</t>
  </si>
  <si>
    <t>500dfe08-f5ad-4659-8031-ec73ea11aa4f</t>
  </si>
  <si>
    <t>The Levers (Group C)</t>
  </si>
  <si>
    <t>Timed - Do not advance this act until you are instructed. Before the agenda advances, one investigator must activate the η ability on the Chamber of Regret. (Beware- If you pull the wrong lever, you will be killed.)</t>
  </si>
  <si>
    <t>Which Lever?</t>
  </si>
  <si>
    <t>If an investigator activated the η ability on the Chamber of Regret, that investigator examines the Chamber of Secrets in Group A's play area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Regret:Time is up. You rush to the levers, but you are too late. Rows of razor-sharp blades emerge from the walls of the chamber, dissecting you with horrifying precision._x000D_
The investigator nearest to the Chamber of Regret is killed. In the event of a tie, the investigators decide. Resolve Act 2 Setup.</t>
  </si>
  <si>
    <t>86b254c4-6ac5-4e0d-a81e-d5d8c1b1501e</t>
  </si>
  <si>
    <t>Timed - Do not advance this act until you are instructed. Before the agenda advances, one investigator must activate the η ability on the Chamber of Regret. Beware- If you pull the wrong lever, you will be killed</t>
  </si>
  <si>
    <t>If an investigator activated the η ability on the Chamber of Regret, that investigator examines the Chamber of Secrets location underneath the scenario reference card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Regret:_x000D_
Time is up. You rush to the levers, but you are too late. Rows of razor-sharp blades emerge from the walls of the chamber, dissecting you with horrifying precision._x000D_
The investigator nearest to the Chamber of Regret is killed. (In the vent of a tie, the investigators decide). Resolve Act 2 Setup.</t>
  </si>
  <si>
    <t>b3c6471d-3649-414e-9aa7-6d30b43c5084</t>
  </si>
  <si>
    <t>Distortions in Time (Group A)</t>
  </si>
  <si>
    <t>Timed - Do not advance this act until you are instructed. When the agenda advances, there must be at least 11 doom in play. (Beware- If the agenda advances and you do not meet this condition, each invesigator in this group will be killed.)</t>
  </si>
  <si>
    <t>Reverse Rhythm</t>
  </si>
  <si>
    <t>If there was at least 11 doom in play when the agenda advanced:_x000D_
You spin the dial on the device to its maximum value, struggling to keep hold of it as your muscles tighten and you begin to decay. The dial stops with a click, then slowly you are able to continue turning it in the same direction. You are in intense pain as it slowly turns, round and round, finally making it way back where it began. The air thins, and time returns to its original pace._x000D_
Resolve Act 3 Setup.
If there was less than 11 doom in play when the agenda advanced:Your muscles and skin tighten, and you feel your body draining of energy. You try to scream, but no air escapes your throat. Your organs shrivel and decay. The fate that inevitably awaits us all, a sinister voice explains. Within minutes, you are naught but dust._x000D_
Each investigator in this group is killed. (-&gt;R1)</t>
  </si>
  <si>
    <t>edf519c4-d5c4-4473-8d83-a3dfdae1c225</t>
  </si>
  <si>
    <t>Seeping Death (Group B)</t>
  </si>
  <si>
    <t>Timed - Do not advance this act until you are instructed. Before the agenda advances, one investigator must activate the η ability on the Chamber of Poison.</t>
  </si>
  <si>
    <t>The Pit of Poison</t>
  </si>
  <si>
    <t>If an investigator activated the η ability on the Chamber of Poison, that investigator reads the following:_x000D_
* If you have been injected, the sludge is disgusting but harmless. Resolve Act 3 Setup._x000D_
* If you have not been injected, its poison seeps through your skin, devouring your organs from inside. You are killed. Resolve Act 3 Setup.
If no investigator activated the η ability on the Chamber of Poison:_x000D_
The floors and walls of the entire labyrinth shift and turn, and you lose your balance. Sliding along the floor as gravity twists, you are knocked into the poisonous pit._x000D_
Move each investigator to the Chamber of Poison. Each investigator in this group who has not been injected is killed. Resolve Act 3 Setup.</t>
  </si>
  <si>
    <t>f4f9a3bb-b647-4f6f-8450-f1625e2ade46</t>
  </si>
  <si>
    <t>The Pet (Group C)</t>
  </si>
  <si>
    <t>Timed - Do not advance this act until you are instructed. Find a way to deal with Eixodolon's Pet before the agenda advances. (Beware- If the creature is still locked away when the agenda advances, it will break free.)</t>
  </si>
  <si>
    <t>Endless Hunger</t>
  </si>
  <si>
    <t>If you sent Eixodolon's Pet to another group:_x000D_
Choose another group, at random. At the end of the current round, that group spawns their set-aside copy of Eixodolon's Pet in one of their Labyrinthine Halls. Resolve Act 3 Setup.
If Eixodolon's Pet is in the victory display:_x000D_
You breathe a sigh of relief as the creature crumples lifelessly to the ground._x000D_
Resolve Act 3 Setup.
If neither of the above are true:_x000D_
The creature smashes through the glass of its terrarium and lashes out hungrily at anyone nearby._x000D_
Move Eixodolon's Pet to Chamber of Hunger. It attacks each investigator in the Chamber of Hunger, in player order. Resolve Act 3 Setup.</t>
  </si>
  <si>
    <t>fefaab53-49ea-44df-b920-7bdac3f88425</t>
  </si>
  <si>
    <t>The Escape</t>
  </si>
  <si>
    <t>Objective - At the end of the round, if Eixodolon has no remaining health, you may move any damage on him in excess of his health to another group's copy of Eixodolon. Then, advance.</t>
  </si>
  <si>
    <t>Parallel Labyrinths</t>
  </si>
  <si>
    <t>If any copy of Eixodolon in any surviving group's play area has health remaining:_x000D_
The figure distorts and shimmers through space-time._x000D_
Flip this act back over.
If each other surviving group's copy of Eixodolon has no health remaining:_x000D_
- If your group is the only surviving group, proceed to (-&gt;R2)._x000D_
- If only two groups survived, those groups proceed to (-&gt;R3)._x000D_
- If all three groups survived, all three groups proceed to (-&gt;R4).</t>
  </si>
  <si>
    <t>5919c177-00eb-4105-a07d-13b64cc4751a</t>
  </si>
  <si>
    <t>Objective - If Eixodolon has no remaining health, advance.</t>
  </si>
  <si>
    <t>If you are playing in standalone mode:_x000D_
Proceed to (-&gt;R2)._x000D_
If you are playing as a mini-campaign and this is the first or second group played:_x000D_
Begin as a new group to discover which resolution is reached.
If you are playing as a mini-campaign, and this is the third group played:_x000D_
- If only one group survived, proceed to (-&gt;R2)._x000D_
- If two groups survived, proceed to (-&gt;R3)._x000D_
- If all three groups survived, proceed to (-&gt;R4).</t>
  </si>
  <si>
    <t>c52ad456-85c4-4186-ba30-d97bb58b55f6</t>
  </si>
  <si>
    <t>Chamber of Secrets</t>
  </si>
  <si>
    <t>Prison. Distortion.</t>
  </si>
  <si>
    <t>Bloody Prison</t>
  </si>
  <si>
    <t>η: You pound your fists on the wall of the chamber. Nobody responds.</t>
  </si>
  <si>
    <t>71accc6d-c332-4b43-bb2b-7dce823b239f</t>
  </si>
  <si>
    <t>Mysterious Prison</t>
  </si>
  <si>
    <t>155bc3e4-bc00-4546-aba6-2331d69da40b</t>
  </si>
  <si>
    <t>Enshrouded Prison</t>
  </si>
  <si>
    <t>abcd74a9-9cd2-4a2b-bc30-5429d39a6871</t>
  </si>
  <si>
    <t>Chamber of Rain</t>
  </si>
  <si>
    <t>Distortion.</t>
  </si>
  <si>
    <t>The Chamber of Rain is sealed shut while the water flows. While it is Act 1, this location gains:_x000D_
Investigators cannot move into or out of this location._x000D_
Forced - When an investigator here draws an enemy card: Discard it and draw a new card to replace it.</t>
  </si>
  <si>
    <t>62ff2676-2c68-41b2-9101-c91afde75d11</t>
  </si>
  <si>
    <t>Chamber of Sorrows</t>
  </si>
  <si>
    <t>Prison.</t>
  </si>
  <si>
    <t>η: Test ή (1) to try to break down the door to the flooding terrarium. Regardless of whether you succeed or fail, it does not budge. Remember that you tried your best.</t>
  </si>
  <si>
    <t>3ae10f16-2962-4f82-a442-8b3e0d695a29</t>
  </si>
  <si>
    <t>η: Test ά (2) to interpret the diagram inscribed on the glass. If you succeed, take control of 1 clue on an investigator in either Chamber of Sorrows or Chamber of Rain (or from that location if you are the only investigator in the game). Any investigator in either Chamber of Sorrows or Chamber of Rain may perform this action.</t>
  </si>
  <si>
    <t>fb52a488-cc7f-449f-8f9a-76ba87819984</t>
  </si>
  <si>
    <t>Chamber of Night</t>
  </si>
  <si>
    <t>η: You call out for help as loud as you can. Nobody responds.</t>
  </si>
  <si>
    <t>1cc12b7c-5316-43f6-9ded-cb45fdddea9a</t>
  </si>
  <si>
    <t>η: Test έ (4). If you succeed, you notice strange writing inscribed along the wall; look at the revealed side of the location underneath the scenario reference card. When you are satisfied, place it back underneath the scenario reference card.</t>
  </si>
  <si>
    <t>78f85a38-3188-4a3e-b3d2-d3653562ba94</t>
  </si>
  <si>
    <t>Chamber of Regret</t>
  </si>
  <si>
    <t>No more than one investigator may be in the Chamber of Regret at a time.</t>
  </si>
  <si>
    <t>ba58c714-53ff-4d39-bea4-31d6ef8ef0d8</t>
  </si>
  <si>
    <t>Labyrinthine Halls</t>
  </si>
  <si>
    <t>Foul-smelling Path</t>
  </si>
  <si>
    <t>θ Choose and discard 2 cards from your hand: You find an old lockbox in a pile of refuse, and decide to leave something behind. At the end of the round, choose another investigator in any group. That investigator draws 2 cards. (Group limit once per game.)</t>
  </si>
  <si>
    <t>cacefbbf-36a4-4042-bfba-74287bdbc209</t>
  </si>
  <si>
    <t>Corpse-filled Path</t>
  </si>
  <si>
    <t>θ Spend 4 resources: You find the corpse of someone you think you once knew, and wish you could have saved them. At the end of the round, choose another investigator in any group. That investigator gains 4 resources. (Group limit once per game.)</t>
  </si>
  <si>
    <t>9694b3b0-914a-4c42-9948-8f7818f73f60</t>
  </si>
  <si>
    <t>Overgrown Path</t>
  </si>
  <si>
    <t>η η: You peer through an overgrown mirror and see an unfamiliar reflection. At the end of the round, choose another investigator in any group. That investigator may take 2 additional actions during his or her next turn. (Group limit once per game.)</t>
  </si>
  <si>
    <t>a75a5edc-4232-4866-847b-e33bb49af072</t>
  </si>
  <si>
    <t>Chamber of Hunger</t>
  </si>
  <si>
    <t>θ If there are no clues on Chamber of Hunger: There is something strange drawn on the glass. Take control of the set-aside Hunger Diagram.</t>
  </si>
  <si>
    <t>3fa85904-9e4d-4edb-b4d9-0b2f42fb521b</t>
  </si>
  <si>
    <t>Chamber of Decay</t>
  </si>
  <si>
    <t>θ If there are no clues on Chamber of Decay: There's a journal here with some strange scribblings. Take control of the set-aside Decay Diagram.</t>
  </si>
  <si>
    <t>ec3a83c6-789d-46e2-b80a-76eb265d6765</t>
  </si>
  <si>
    <t>Chamber of Rot</t>
  </si>
  <si>
    <t>θ If there are no clues on Chamber of Rot: There is something strange etched on the walls. Take control of the set-aside Rot Diagram.</t>
  </si>
  <si>
    <t>a6434c25-d4d1-48b9-90f3-103ad50e7bcb</t>
  </si>
  <si>
    <t>Chamber of Poison</t>
  </si>
  <si>
    <t>The ladder leading into the Chamber of Poison must be lowered. As an additional cost to enter the Chamber of Poison, investigators in the Chamber of Rot must spend 1π clues, as a group.</t>
  </si>
  <si>
    <t>91dbe868-4e64-4001-980f-6b5f287f1a0f</t>
  </si>
  <si>
    <t>78b1daa0-8ef2-4d3a-9945-dcfb34884472</t>
  </si>
  <si>
    <t>Arcane Runes</t>
  </si>
  <si>
    <t>Act 1.</t>
  </si>
  <si>
    <t>Revelation - Attach Arcane Runes to a [[Distortion]] location._x000D_
θ If there are 1π resources on this card: Flip it over and follow the instructions on its other side._x000D_
η: sTteέ)3(. fI uoy ucdee,cs ceapl 1 cesueorr no tsih cr.ad_x000D_
If an investigator in this group has successfully resolved the above ability, this card gains: η: es)3Tέ(t. oYu ancnto mctmio rdcsa ot htsi klisl e.tts fI uyo duec,esc ealcp 1 srcrouee no nhotera ugpro's coyp fo raeAnc nRues.</t>
  </si>
  <si>
    <t>Deep Within the Labyrinth…</t>
  </si>
  <si>
    <t>If you are in Group B:_x000D_
Etched upon the glass of the capsule slowly filling with water, you can see a blueprint begin to glow._x000D_
Each investigator in this group may immediately trade clues among one another. Move any number of clues from Chamber of Rain to Chamber of Sorrows, or vice-versa. Flip this card back over.
If you are in Group A:_x000D_
The runes glow, and a piece of the wall slides to reveal a secret compartment, filled with trinkets._x000D_
Put the Key of Mysteries into play at the Chamber of Secrets. Flip this card back over.
If you are in Group C:_x000D_
The runes in your chamber shift to form a word._x000D_
The word you see is the same word inscribed upon the wall of the Chamber of Secrets in Group A's play area (you may examine Group A's play area) Flip this card back over.</t>
  </si>
  <si>
    <t>182f682b-9f14-4c22-a977-c7a63ffd165c</t>
  </si>
  <si>
    <t>The Rift</t>
  </si>
  <si>
    <t>Act 1. Act 2.</t>
  </si>
  <si>
    <t>Revelation - Attach The Rift to the current act. If it is act 1, Groups B and C put the set-aside Key of Mysteries into play at a [[Distortion]] location._x000D_
Forced - At the end of the round, if there is at least 3 doom on each group's agenda: The rift opens wide enough for an investigator to step through. Choose an investigator at any location to enter the rift. Then, that investigator flips this card over and follows the instructions on its other side.</t>
  </si>
  <si>
    <t>Each investigator that entered the rift takes this story card and meets in private, away from each group. Investigators within the rift can speak freely, and may exchange any number of clues, resources, cards in hand, or story assets controlled. Once the investigators are satisfied, each investigator returns to his or her original group. Flip this card back over.</t>
  </si>
  <si>
    <t>03fc5d18-fd91-424f-8fbe-01d267d25a5e</t>
  </si>
  <si>
    <t>The Vent</t>
  </si>
  <si>
    <t>Revelation - Place The Vent in a [[Distortion]] location. If it is act 1, Groups B and C put the set-aside Key of Mysteries into play at that location._x000D_
θ: Place any number of your resource tokens or clues on this card, and/or place any number of [[Item]] assets you control underneath this card. You may also place a written note underneath this card._x000D_
η: Take control of any number of tokens, cards, or notes on/underneath this card._x000D_
ι At the end of the round: You send all of the tokens and cards gathered here through the ventilation shaft. Flip this card over and follow the instructions on the other side.</t>
  </si>
  <si>
    <t>Take the cards, tokens, and notes on or underneath this card and place them on or underneath another group's copy of The Vent._x000D_
Flip this card back over.</t>
  </si>
  <si>
    <t>b6b4cd34-035a-4cc4-a45b-a00c70e18b3c</t>
  </si>
  <si>
    <t>The Dilemma</t>
  </si>
  <si>
    <t>Act 2.</t>
  </si>
  <si>
    <t>Revelation - Put The Dilemma into play, next to the act deck. _x000D_
The current act gains:  At the end of the round: Desperate, you are willing to sacrifice yourself for the benefit of the other groups. Flip The Dilemma over and follow the instructions on the other side.</t>
  </si>
  <si>
    <t>You must choose and discard all but X cards from your hand, and remove all but X resources from your resource pool. X is the amount of doom on the current agenda.
Read the following to each group aloud:_x000D_
The words and letters on the note shift and change to form a strange diagram._x000D_
The lead investigator of Group A takes control of the set-aside Rot Diagram._x000D_
The lead investigator of Group B takes control of the set-aside Hunger Diagram._x000D_
The lead investigator of Group C takes control of the set-aside Decay Diagram._x000D_
Remove each group's copy of The Dilemma from the game.</t>
  </si>
  <si>
    <t>a74f55de-c7e4-49de-9948-c5bc2248efa1</t>
  </si>
  <si>
    <t>The Gate</t>
  </si>
  <si>
    <t>Revelation - Attach The Gate to a [[Distortion]] location._x000D_
η Spend 1 clue: You enter the doorway. Flip this story card over and follow the instructions on its other side.</t>
  </si>
  <si>
    <t>Depending on which group you are in, put a different location into play, as follows:_x000D_
- If you are in Group A, put the Chamber of Rot into play._x000D_
- If you are in Group B, put the Chamber of Hunger into play._x000D_
- If you are in Group C, put the Chamber of Decay into play._x000D_
Disengage from each enemy and move to the location just put into play._x000D_
Until there is at least 5 doom on the current agenda, that location is not considered to be connected to any other location._x000D_
Remove this card from the game.</t>
  </si>
  <si>
    <t>61fb1a4c-b8c4-492e-b62c-d0ac5a6412c6</t>
  </si>
  <si>
    <t>Encrypted Glyphs</t>
  </si>
  <si>
    <t>Revelation - Attach Encrypted Glyphs to a [[Distortion]] location._x000D_
Forced - If there is at least 1 horror and 1π damage on this card: Flip it over and follow the instructions on its other side._x000D_
η: Test έ (2) to attempt to decipher the glyphs. If you succeed, place 1 damage on this card._x000D_
η: Test ά (4) to move the glyphs to their proper order. If you succeed, place 1 horror on each group's copy of Encrypted Glyphs.</t>
  </si>
  <si>
    <t>If you are in Group A:_x000D_
Choose an investigator to take control of the set-aside Rot Diagram. Remove this card from the game.
If you are in Group B:_x000D_
Choose an investigator to take control of the set-aside Hunger Diagram. Remove this card from the game.
If you are in Group C:_x000D_
Choose an investigator to take control of the set-aside Decay Diagram. Remove this card from the game.</t>
  </si>
  <si>
    <t>0a109bdc-b669-4300-853c-a321d0b48929</t>
  </si>
  <si>
    <t>Eixodolon's Note</t>
  </si>
  <si>
    <t>Item. Script.</t>
  </si>
  <si>
    <t>Forced - When you are defeated: Give control of Eixolodon's Note to another investigator.</t>
  </si>
  <si>
    <t>655b63b0-7c6e-43b5-968c-3c15722b73c5</t>
  </si>
  <si>
    <t>Key of Mysteries</t>
  </si>
  <si>
    <t>Forced - When you are defeated: Place Key of Mysteries at your location._x000D_
While the Key of Mysteries is uncontrolled, it gains: η: Investigate. If you succeed, instead of discovering clues, take control of the Key of Mysteries.</t>
  </si>
  <si>
    <t>a2b55f0c-5180-44ab-bef2-12041c2659e6</t>
  </si>
  <si>
    <t>Mysterious Syringe</t>
  </si>
  <si>
    <t>Forced - When you are defeated: Give control of Mysterious Syringe to another investigator._x000D_
η: Choose an investigator at your location and remove Mysterious Syringe from the game. Remember that the chosen investigator has been injected.</t>
  </si>
  <si>
    <t>beff7428-875f-4616-9241-2c36f57a30aa</t>
  </si>
  <si>
    <t>Rot Diagram</t>
  </si>
  <si>
    <t>Forced - When you are defeated: Give control of Rot Diagram to another investigator._x000D_
While you are in the Chamber of Decay, it gains: η: Place 1 doom here. Flip any number of your clues to their doom side and place them here.</t>
  </si>
  <si>
    <t>cce2e5c7-4b6e-4d16-afaa-cf0ee40777c4</t>
  </si>
  <si>
    <t>Forced - When you are defeated: Give control of Rot Diagram to another investigator._x000D_
While you are in the Chamber of Rot, it gains: η: Investigate. If you succeed, instead of discovering clues, take control of the set-aside Mysterious Syringe.</t>
  </si>
  <si>
    <t>447e1794-13e1-448a-adee-2739317beaf9</t>
  </si>
  <si>
    <t>Hunger Diagram</t>
  </si>
  <si>
    <t>Forced - When you are defeated: Give control of Hunger Diagram to another investigator._x000D_
While you are in the Chamber of Rot, it gains: η: Investigate. If you succeed, instead of discovering clues, take control of the set-aside Mysterious Syringe.</t>
  </si>
  <si>
    <t>d25f33d2-c4cd-4299-857f-e0ac2e3a2d73</t>
  </si>
  <si>
    <t>Forced - When you are defeated: Give control of Hunger Diagram to another investigator._x000D_
While you are in the Chamber of Hunger, it gains: â€œη If Eixodolon's Pet is 'locked away,' spend 1 clue: Deal 4 damage to Eixodolon's Pet.â€</t>
  </si>
  <si>
    <t>9e268ce7-82fa-4b15-b0bc-a1f034203a44</t>
  </si>
  <si>
    <t>Decay Diagram</t>
  </si>
  <si>
    <t>Forced - When you are defeated: Give control of Decay Diagram to another investigator._x000D_
While you are in the Chamber of Hunger, it gains: η If Eixodolon's Pet is 'locked away,' spend 1 clue: Deal 4 damage to Eixodolon's Pet.</t>
  </si>
  <si>
    <t>2a04acb2-4b13-4bd7-bb65-954d817c6b47</t>
  </si>
  <si>
    <t>Forced - When you are defeated: Give control of Decay Diagram to another investigator._x000D_
While you are in the Chamber of Decay, it gains: η: Place 1 doom here. Flip any number of your clues to their doom side and place them here.</t>
  </si>
  <si>
    <t>675e2459-3ba9-4d1b-bfb2-9329599e8e85</t>
  </si>
  <si>
    <t>Eixodolon</t>
  </si>
  <si>
    <t>Your Anguish Is My Power</t>
  </si>
  <si>
    <t>Hunter. Retaliate._x000D_
Eixodolon gets +6π health and cannot be defeated by damage._x000D_
Forced - When the enemy phase begins, if there is a copy of Harvested Pain in the victory display: Ready Eixodolon.</t>
  </si>
  <si>
    <t>723de15a-c682-4880-bac6-7d9c9646026f</t>
  </si>
  <si>
    <t>Eixodolon's Pet</t>
  </si>
  <si>
    <t>You Are Not Its First Victim, Or Its Last</t>
  </si>
  <si>
    <t>Hunter. Retaliate._x000D_
While Eixodolon's Pet is locked away, it is immune to player card effects and Chamber of Hunger gains: η Investigators at Chamber of Hunger spend 1π clues, as a group: Set Eixodolon's Pet aside, out of play. Remember that you sent Eixodolon's Pet to another group.</t>
  </si>
  <si>
    <t>cdd2f61c-e48e-48bb-8ad5-c0395e8192a3</t>
  </si>
  <si>
    <t>Hunter. Retaliate._x000D_
While Eixodolon's Pet is locked away, it is immune to player card effects.</t>
  </si>
  <si>
    <t>e86a6253-1c9a-4e3a-834d-3d516d6ba780</t>
  </si>
  <si>
    <t>The Jailor</t>
  </si>
  <si>
    <t>Spawn - Nearest Labyrinthine Halls._x000D_
Hunter._x000D_
Eixodolon's Note gains: η Fight. Use only on The Jailor. Use either ά or ή for this attack. If you succeed, set The Jailor aside, out of play. At the end of the round, move The Jailor to another group's Labyrinthine Halls (it keeps all tokens and attachments).</t>
  </si>
  <si>
    <t>a0dda595-0a83-4fe6-bf4b-1b11c002ccf3</t>
  </si>
  <si>
    <t>Faceless Abductor</t>
  </si>
  <si>
    <t>Spawn - Nearest [[Prison]] location._x000D_
Hunter._x000D_
Forced - After Faceless Abductor attacks an investigator: Move that investigator to a [[Prison]] location.</t>
  </si>
  <si>
    <t>e8de7e2c-0a50-4e5b-9052-6fad81db512d</t>
  </si>
  <si>
    <t>Tortured Victim</t>
  </si>
  <si>
    <t>Humanoid. Extradimensional.</t>
  </si>
  <si>
    <t>Revelation - You must either discard a random card from your hand, or Tortured Victim makes an immediate attack against you.</t>
  </si>
  <si>
    <t>c4cbc597-a14f-418e-a29d-0ad507042021</t>
  </si>
  <si>
    <t>Mi-Go Guard</t>
  </si>
  <si>
    <t>Monster. Mi-Go.</t>
  </si>
  <si>
    <t>Prey - Most remaining health._x000D_
For each α, β, γ, or δ token revealed during an attack against Mi-Go Guard, that attack deals 1 fewer damage.</t>
  </si>
  <si>
    <t>8f6adac8-af71-4353-9d15-67e89b8fd247</t>
  </si>
  <si>
    <t>Unnatural Weariness</t>
  </si>
  <si>
    <t>Injury. Poison.</t>
  </si>
  <si>
    <t>Peril._x000D_
Revelation - Test ά (3). For each point you fail by, you must choose a different option:_x000D_
- Lose 3 resources._x000D_
- Lose 1 action._x000D_
- Discard a random card from your hand.</t>
  </si>
  <si>
    <t>3a70204f-91c5-4fff-8261-bc02e7d6ce96</t>
  </si>
  <si>
    <t>Poisonous Gas</t>
  </si>
  <si>
    <t>Trap. Poison.</t>
  </si>
  <si>
    <t>Revelation - Test ί (4). If you fail, lose 1 action (2 actions instead if you fail by 2 or more). When this skill test begins, an investigator at your location may place 1 of his or her clues on your location to reduce the difficulty of this test by 2.</t>
  </si>
  <si>
    <t>61e38ecf-feb7-4f0b-bec0-a70817bff237</t>
  </si>
  <si>
    <t>Dreadful Mechanism</t>
  </si>
  <si>
    <t>Revelation - Put Dreadful Mechanism into play in your threat area._x000D_
Forced - After you perform an action other than the η ability below: Take 1 damage, discard an asset taking up at least 1 hand slot, and discard Dreadful Mechanism._x000D_
η: Test ή (2). If you succeed, discard Dreadful Mechanism.</t>
  </si>
  <si>
    <t>3f93460c-2ed9-4059-980e-38bc3563841b</t>
  </si>
  <si>
    <t>Blood and Rust</t>
  </si>
  <si>
    <t>Revelation - Test ί (4). If you fail, take 1 damage (2 damage instead if you fail by 2 or more). When this skill test begins, an investigator at your location may place 1 of his or her clues on your location to reduce the difficulty of this test by 2.</t>
  </si>
  <si>
    <t>859735ee-63a7-484c-b826-8a9cf68c64e1</t>
  </si>
  <si>
    <t>Paradox Effect</t>
  </si>
  <si>
    <t>Revelation - Test ά (3). For each point you fail by, take 1 horror. If you succeed, put Paradox Effect into play in your threat area._x000D_
Forced - At the end of the round: Discard Paradox Effect and choose an investigator in another group. You and that investigator may talk in private and may exchange resources, story assets, and cards in hand.</t>
  </si>
  <si>
    <t>6deaf02c-fdb3-46a1-bb27-9da31837d320</t>
  </si>
  <si>
    <t>644831e1-17cd-4433-820c-8001dcf2361d</t>
  </si>
  <si>
    <t>Harvested Pain</t>
  </si>
  <si>
    <t>Peril._x000D_
Revelation - If you have 3 or fewer remaining health or sanity, add Harvested Pain to the victory display. Otherwise, take 1 damage and 1 horror._x000D_
While Harvested Pain is in the victory display, Eixodolon gets +1 fight.</t>
  </si>
  <si>
    <t>Ictaca</t>
  </si>
  <si>
    <t>Scion of Yig</t>
  </si>
  <si>
    <t>Or, Is He?</t>
  </si>
  <si>
    <t>a07c684c-0e19-4938-bbf1-2a88e0e353a4</t>
  </si>
  <si>
    <t>Return to Dunwich Legacy</t>
  </si>
  <si>
    <t>RTDL</t>
  </si>
  <si>
    <t>8c777114-0122-444a-b853-827bb67f2afa</t>
  </si>
  <si>
    <t>You have two additional hand slots, which can only be used to hold [[Weapon]] assets._x000D_
While you have [[Weapon]] assets held in 2 or more hand slots, you get +1 ά.</t>
  </si>
  <si>
    <t>362acc37-0402-4bc2-bbf1-37b2e3ae12e6</t>
  </si>
  <si>
    <t>η: Fight. You get +2 ή for this attack. If you perform this attack againt an enemy engaged with another investigator, you deal +1 damage for this attack if you succeed, and no damage if you fail.</t>
  </si>
  <si>
    <t>4a5056f1-3d65-4b08-95d8-0e28b36919de</t>
  </si>
  <si>
    <t>Play only if there is a clue on your location._x000D_
Draw three cards.</t>
  </si>
  <si>
    <t>a1fea95e-7df1-4a93-9295-3b8c7d03079b</t>
  </si>
  <si>
    <t>Empowering Elixir</t>
  </si>
  <si>
    <t>You can only include this asset in your deck by upgrading it from Strange Solution (Unidentified), and only if you have "identified the solution" in your Campaign Log._x000D_
Uses (3 supplies)._x000D_
η Spend 1 supply and exhaust Strange Solution: Choose an investigator at your location to gain 2 resources and draw 1 card.</t>
  </si>
  <si>
    <t>ae54262f-7d83-4fb4-a4da-2579b365e7c9</t>
  </si>
  <si>
    <t>Choose an asset controlled by an investigator at your location. Either (choose one):_x000D_
- Place 2 ammo or supply tokens on that asset and draw 1 card._x000D_
- Double the number of ammo or supply tokens on that asset.</t>
  </si>
  <si>
    <t>be1bc76c-8781-4970-93e3-3490ca6e563c</t>
  </si>
  <si>
    <t>ίίέ</t>
  </si>
  <si>
    <t>Fast. Play when an enemy enters your location._x000D_
Immediately move to a connecting location. (The enemy still enters your previous location.)</t>
  </si>
  <si>
    <t>7acfa3d3-3b31-4b29-ac63-8c35070d8375</t>
  </si>
  <si>
    <t>Uses (3 charges)._x000D_
η Spend 1 charge: Investigate. Investigate using ά instead of έ. You get +2 ά for this test. If you succeed you discover 1 additional clue at this location. If a α, β, γ, δ, or ζ symbol is revealed during this test, after this test resolves lose all remaining actions and immediately end your turn.</t>
  </si>
  <si>
    <t>91d3766f-b81c-46fd-b7d3-cc461cff0ee1</t>
  </si>
  <si>
    <t>Uses (4 charges)._x000D_
η Spend 1 charge: Heal 2 horror from among investigators at your location.</t>
  </si>
  <si>
    <t>56009113-7758-4ebe-9eed-f36ea64edc39</t>
  </si>
  <si>
    <t>ίήή</t>
  </si>
  <si>
    <t>Fast. Play after you fail a skill test by 3 or less while attacking an enemy._x000D_
Deal this attack's damage to any enemy at your location. If the attacked enemy is engaged with another investigator, this attack deals no damage to that investigator.</t>
  </si>
  <si>
    <t>b27d9c77-b7a1-4427-a368-f148fdf51261</t>
  </si>
  <si>
    <t>Commit only to a skill test you are performing, and only if the difficulty of that test is higher than your base skill value._x000D_
Rise to the Occasion gets +X ΰ icons, where X is the difference between your base skill and this test's difficulty (to a maximum of +3 ΰ icons).</t>
  </si>
  <si>
    <t>49b96c05-175b-4727-b9d0-8bbfdc22d608</t>
  </si>
  <si>
    <t>Through the Gates</t>
  </si>
  <si>
    <t>Pact. Mystery.</t>
  </si>
  <si>
    <t>Revelation - Draw the top card of your deck. If it is not a weakness, remove that card from the game. Then, search your deck, discard pile, hand, and all play areas for each other copy of that card you own, and remove them from the game, as well.</t>
  </si>
  <si>
    <t>AY</t>
  </si>
  <si>
    <t>88718a2a-19b8-4045-86ea-7974c01b8f11</t>
  </si>
  <si>
    <t>Return to Extracurricular Activities</t>
  </si>
  <si>
    <t>7fbec8f4-d389-4249-8b5c-aa86ee49cd38</t>
  </si>
  <si>
    <t>Warren Observatory</t>
  </si>
  <si>
    <t>67150130-081e-4e9d-bf63-5b054f1dea87</t>
  </si>
  <si>
    <t>Enthralled Security Guard</t>
  </si>
  <si>
    <t>Humanoid. Abomination.</t>
  </si>
  <si>
    <t>4e1daa6b-d846-49c0-959d-226cdaa21497</t>
  </si>
  <si>
    <t>Return to The House Always Wins</t>
  </si>
  <si>
    <t>- Set the Clover Club Stage aside, out of play._x000D_
- Choose one of the two Clover Club Lounge locations at random. Put the chosen location into play along with the rest of the starting locations. Remove the other version of Clover Club Lounge from the game.</t>
  </si>
  <si>
    <t>7ab63941-b149-4aaf-98de-704e97b07070</t>
  </si>
  <si>
    <t>15d3b5bb-8c2d-426d-8ec3-9c5028ff66cc</t>
  </si>
  <si>
    <t>Clover Club Stage</t>
  </si>
  <si>
    <t>Clover Club Bar is connected to Clover Club Stage.</t>
  </si>
  <si>
    <t>80800d2d-2133-4e98-be92-52ef45bf8153</t>
  </si>
  <si>
    <t>Caught Cheating</t>
  </si>
  <si>
    <t>Illicit.</t>
  </si>
  <si>
    <t>ab0dd597-1d80-4db9-a9cc-9bbb5cf54983</t>
  </si>
  <si>
    <t>Raise the Stakes</t>
  </si>
  <si>
    <t>ceff1f22-cc40-45e6-8290-bc342b8227c4</t>
  </si>
  <si>
    <t>Return to The Miskatonic Museum</t>
  </si>
  <si>
    <t>9231feac-b813-4555-8c20-39b5d77a47d6</t>
  </si>
  <si>
    <t>Medieval Exhibit</t>
  </si>
  <si>
    <t>6c6495a9-3b5c-4700-92c8-fb799355fa4b</t>
  </si>
  <si>
    <t>The Archives</t>
  </si>
  <si>
    <t>ebb07765-76da-41fc-8da4-98d3da16ccfe</t>
  </si>
  <si>
    <t>Dark Bidding</t>
  </si>
  <si>
    <t>4bb24867-11fb-4723-abd5-da67f161f081</t>
  </si>
  <si>
    <t>Night Beyond Void</t>
  </si>
  <si>
    <t>ac9fad31-26f1-4563-bb17-dc438cc9cd2c</t>
  </si>
  <si>
    <t>Return to The Essex County Express</t>
  </si>
  <si>
    <t>- Remove Agenda 1a - "A Tear in Reality," from the game and replace it with the new Agenda 0a - "Where There's Smoke" and the new agenda 1a - "A Tear in Reality (v.II)." (When you construct the agenda deck, agenda 0a should be on top.)_x000D_
- When choosing 6 Train Car locations to put into play at random, include the 2 new Train Car locations in this encounter set, for a total of 10 possible cards._x000D_
- When choosing an Engine Car location to put into play at random, include the new Engine Car location in this encounter set, for a total of 4 possible cards._x000D_
Set the Engineer story asset aside, out of play.</t>
  </si>
  <si>
    <t>bde145c7-7917-4067-ba3f-6f30caebe18b</t>
  </si>
  <si>
    <t>Where There's Smoke</t>
  </si>
  <si>
    <t>4f42702e-b199-439c-a2ee-94335ef8a315</t>
  </si>
  <si>
    <t>The Conductor</t>
  </si>
  <si>
    <t>Beast from beyond the Gate</t>
  </si>
  <si>
    <t>ef5a7a89-35a3-44d1-897d-9920d2099093</t>
  </si>
  <si>
    <t>A Tear in Reality (v.II)</t>
  </si>
  <si>
    <t>Remove the leftmost location from the game (or place it in the victory display if it has Victory X and no clues on it). Each investigator at that location is defeated. Each enemy and asset at that location is discarded._x000D_
Discard all clues controlled by the investigators.</t>
  </si>
  <si>
    <t>c81f849a-64d5-4444-bc1a-314870e5ba56</t>
  </si>
  <si>
    <t>Engine Car is connected to the location to the left of it._x000D_
You cannot enter Engine Car unless all of the clues on the location to its left have been discovered.</t>
  </si>
  <si>
    <t>0fa20844-7237-4ff4-be80-0f31fe6accfc</t>
  </si>
  <si>
    <t>Freight Car</t>
  </si>
  <si>
    <t>Train Car is connected to the locations to the left and right of it._x000D_
You cannot enter Train Car unless all of the clues on the location to its left have been discovered.</t>
  </si>
  <si>
    <t>a152582d-bd8f-48ee-9939-7e8383067d95</t>
  </si>
  <si>
    <t>Baggage Car</t>
  </si>
  <si>
    <t>7a1102fd-f1d5-4cf5-a99a-ea75b678b08d</t>
  </si>
  <si>
    <t>Engineer</t>
  </si>
  <si>
    <t>268fed05-adc1-4adb-9576-24b91cd135d4</t>
  </si>
  <si>
    <t>Return to Blood on the Altar</t>
  </si>
  <si>
    <t>2d3c2b40-d775-419e-8e88-efdade5ee5cb</t>
  </si>
  <si>
    <t>Silent Decay</t>
  </si>
  <si>
    <t>07c26c59-f752-4300-bd1d-5b637c497f42</t>
  </si>
  <si>
    <t>Bishop's Brook</t>
  </si>
  <si>
    <t>343b7334-2bdd-49f6-90f5-6f4549dc3abf</t>
  </si>
  <si>
    <t>73664ed1-d664-4a91-8c09-8e2cac562424</t>
  </si>
  <si>
    <t>Osborn's General Store</t>
  </si>
  <si>
    <t>5197081e-569a-4093-802f-8e4f22f592d9</t>
  </si>
  <si>
    <t>c29a7228-7b52-47d8-bc05-3160f1c6445b</t>
  </si>
  <si>
    <t>d7ec503a-473a-4f3f-87dc-b76caf8454b9</t>
  </si>
  <si>
    <t>8a32ab23-999b-4c7f-ad78-e417c4f6a8cf</t>
  </si>
  <si>
    <t>Hired Gun</t>
  </si>
  <si>
    <t>Humanoid. Criminal. Syndicate.</t>
  </si>
  <si>
    <t>0fab286f-04e0-4e7f-b888-5cb1ec5d4826</t>
  </si>
  <si>
    <t>Return to Undimensioned and Unseen</t>
  </si>
  <si>
    <t>ba51ce1d-50b9-4d09-b88d-1d5c804179f5</t>
  </si>
  <si>
    <t>Charging Beast</t>
  </si>
  <si>
    <t>55628c36-70ad-4855-9e6f-4e1e04093d88</t>
  </si>
  <si>
    <t>Swelling Devourer</t>
  </si>
  <si>
    <t>7bd6e269-bfe1-463c-a216-03faa3816201</t>
  </si>
  <si>
    <t>Thrashing Spawn</t>
  </si>
  <si>
    <t>0b8e1a78-4425-4c9f-a0de-d3477381629d</t>
  </si>
  <si>
    <t>Amorphous Terror</t>
  </si>
  <si>
    <t>c49e03d3-66c3-4f2c-a949-58b7fe951ff9</t>
  </si>
  <si>
    <t>Imperceptible Creature</t>
  </si>
  <si>
    <t>ab93d222-6c67-4e91-b473-b9e0c39b61e2</t>
  </si>
  <si>
    <t>Return to Where Doom Awaits</t>
  </si>
  <si>
    <t>5e33616e-3251-498e-8b52-7765911e2d93</t>
  </si>
  <si>
    <t>Warped and Twisted</t>
  </si>
  <si>
    <t>95721a1b-fc69-4fe7-8b8c-62bff3bc0df1</t>
  </si>
  <si>
    <t>The path leading farther up the hill is masked. You cannot move into Ascending Path.</t>
  </si>
  <si>
    <t>10ad9b62-60a3-46b2-bfa7-98cd0810a68a</t>
  </si>
  <si>
    <t>Abandoned Camp</t>
  </si>
  <si>
    <t>f29036d6-eb41-433e-af3a-6f4ac14a2429</t>
  </si>
  <si>
    <t>Fathomless Lake</t>
  </si>
  <si>
    <t>4edb7393-4a73-4bc0-ab6d-4053e6feecc4</t>
  </si>
  <si>
    <t>Naomi O'Bannion</t>
  </si>
  <si>
    <t>Ruthless Tactician</t>
  </si>
  <si>
    <t>έέήή</t>
  </si>
  <si>
    <t>Ally. Criminal. Syndicate.</t>
  </si>
  <si>
    <t>23bb3a70-dfd7-494f-a295-17aa6592cffc</t>
  </si>
  <si>
    <t>Return to Lost in Time and Space</t>
  </si>
  <si>
    <t>f2657fbe-2f44-4cb7-81ff-69139a45c68f</t>
  </si>
  <si>
    <t>Breaking Through (v. II)</t>
  </si>
  <si>
    <t>The Key and the Gate (v. II)</t>
  </si>
  <si>
    <t>d0311731-da7a-4c3d-813a-db280d59fb68</t>
  </si>
  <si>
    <t>Into the Beyond (v. II)</t>
  </si>
  <si>
    <t>The Vessel Awaits</t>
  </si>
  <si>
    <t>fa3e7f58-8fd2-4a69-8e3c-c0be7a2b4fbe</t>
  </si>
  <si>
    <t>Thrall of Yog-Sothoth</t>
  </si>
  <si>
    <t>Humanoid. Monster. Abomination. Elite.</t>
  </si>
  <si>
    <t>2e2b554d-fc2d-4765-a06c-ee20fae32e28</t>
  </si>
  <si>
    <t>Realms Beyond</t>
  </si>
  <si>
    <t>All-In-One</t>
  </si>
  <si>
    <t>b2970210-868a-4163-a171-bb39efd669a4</t>
  </si>
  <si>
    <t>Indecipherable Stairs</t>
  </si>
  <si>
    <t>725c30d2-7930-4244-ac72-d776caffb9c6</t>
  </si>
  <si>
    <t>Towering Luminosity</t>
  </si>
  <si>
    <t>9b909205-76dd-4092-b818-cfe82e216271</t>
  </si>
  <si>
    <t>Unstable Vortex</t>
  </si>
  <si>
    <t>7f8eb721-f86c-49c4-8f16-539a12be2313</t>
  </si>
  <si>
    <t>Beyond the Threshold</t>
  </si>
  <si>
    <t>Haunting Recollections</t>
  </si>
  <si>
    <t>399509b0-154b-4ba5-818c-ac5464777152</t>
  </si>
  <si>
    <t>A Baleful Welcome</t>
  </si>
  <si>
    <t>5ef6ba51-1346-408d-9b1d-2533ac6d96a8</t>
  </si>
  <si>
    <t>Infinite Doorway</t>
  </si>
  <si>
    <t>61dcba54-8642-4d1e-83ed-cc1d00b119ab</t>
  </si>
  <si>
    <t>Resurgent Evils</t>
  </si>
  <si>
    <t>c8fad645-60f9-4af9-aced-624e43afee0a</t>
  </si>
  <si>
    <t>Secret Doors</t>
  </si>
  <si>
    <t>Secret Door</t>
  </si>
  <si>
    <t>7f293f19-090f-4d19-92fe-851f42b40e86</t>
  </si>
  <si>
    <t>Creeping Cold</t>
  </si>
  <si>
    <t>Inexplicable Cold</t>
  </si>
  <si>
    <t>4d7175b2-9fd6-49f0-91e2-42b7f7646417</t>
  </si>
  <si>
    <t>Oppressive Mists</t>
  </si>
  <si>
    <t>b5ed3923-db68-4d89-9b62-17aff5f9f48b</t>
  </si>
  <si>
    <t>Erratic Fear</t>
  </si>
  <si>
    <t>Violent Commands</t>
  </si>
  <si>
    <t>8b5b3023-3ec8-4b05-97fb-986d8e811e94</t>
  </si>
  <si>
    <t>Idle Hands</t>
  </si>
  <si>
    <t>d1772086-b9fa-43af-b50c-a06c276769e6</t>
  </si>
  <si>
    <t>Need for Knowledge</t>
  </si>
  <si>
    <t>29c7d134-fbc3-46bb-a04b-2873f982b4dd</t>
  </si>
  <si>
    <t>Yog Sothoth's Emissaries</t>
  </si>
  <si>
    <t>Vassal of the Lurker</t>
  </si>
  <si>
    <t>db6854fb-64c1-4fd3-86b9-470410339d1a</t>
  </si>
  <si>
    <t>Eldritch Accord</t>
  </si>
  <si>
    <t>Perform the setup as indicated in The Dunwich Legacy Campaign Guide, with the following exceptions:_x000D_
- When gathering encounter sets, also gather the new encounter sets for Return to Extracurricular Activities shown here._x000D_
(Continued on reverse side.)</t>
  </si>
  <si>
    <t>- Randomly choose between Orne Library and Warren Observatory. Put the chosen location into play, along with the rest of the starting locations. Remove the other location from the game._x000D_
- If you have completed Return to The House Always Wins, search the encounter sets for 1 copy of Enthralled Security Guard, and spawn it at the Administration Building.</t>
  </si>
  <si>
    <t>Forced - After you discover 1 or more clues at Warren Observatory: Discard 3 cards from the top of your deck for each clue just discovered.</t>
  </si>
  <si>
    <t>Hunter. Retaliate._x000D_
Forced - After Enthralled Security Guard attacks you: Discard the top 2 cards of your deck._x000D_
Forced - After Enthralled Security Guard is evaded: It is defeated.</t>
  </si>
  <si>
    <t>Perform the setup as indicated in The Dunwich Legacy Campaign Guide, with the following exceptions:_x000D_
- When gathering encounter sets, also gather the new encounter sets for Return to The House Always Win shown here._x000D_
(Continued on reverse side.)</t>
  </si>
  <si>
    <t>Forced - After Clover Club Lounge is revealed: Put the set-aside Clover Club Stage into play._x000D_
While it is Act 1, Clover Club Lounge gains: "η: Look at the top card of your deck. If it is an [[Ally]] asset, you may put it into play. Otherwise, draw it. (Limit once per round.)"</t>
  </si>
  <si>
    <t>Surge._x000D_
Revelation - Each player who has "cheated" must lose 2 resources and take 1 damage.</t>
  </si>
  <si>
    <t>Revelation - You must (choose one):_x000D_
- Remember that you have "cheated."_x000D_
- Lose 5 resources._x000D_
- Put Raise the Stakes into play in your threat area. It gains: "Each [[Criminal]] enemy at your location loses aloof. If it is Act 2 or 3, each [[Criminal]] enemy engaged with you gets +1 fight and +1 evade."</t>
  </si>
  <si>
    <t>Perform the setup as indicated in The Dunwich Legacy Campaign Guide, with the following exceptions:_x000D_
- When gathering encounter sets, also gather the new encounter sets for Return to The Miskatonic Museum shown here._x000D_
(Continued on reverse side.)</t>
  </si>
  <si>
    <t>- Before creatng the "Exhibit Deck," add the 2 new Exhibit Hall locations to the original 6 Exhibit Hall locations. Set Exhibit Hall (Restricted Hall) aside and randomly remove 2 Exhibit Hall locations from the game. Then, continue creating the Exhibit Deck as normal._x000D_
For the duration of this scenario, the following additional rule applies:_x000D_
"While an investigator is resolving the text on agenda 1b and agenda 2b, the Forced ability on the next agenda in the agenda deck is considered to be active."_x000D_
Attach this card to the scenario reference card as a reminder.</t>
  </si>
  <si>
    <t>Forced - After you fail a skill test while investigating this location: Take 1 damage.</t>
  </si>
  <si>
    <t>η η: Gain 2 clues (from the token bank). Then, if Hunting Horror is in play, place 1 resource on Shadow-spawned. Otherwise, search the encounter deck, discard pile, and the void for Hunting Horror and spawn it in the Museum Halls. Shuffle the encounter deck.</t>
  </si>
  <si>
    <t>Revelation - Attach Dark Bidding to Hunting Horror, even if it is out of play. Dark Bidding remains attached to Hunting Horror if it enters the void._x000D_
Forced - When Hunting Horror attacks an investigator: That investigator must take 1 additional damage and 1 additional horror. Heal 2 damage from Hunting Horror. Discard Dark Bidding. (Max once per attack.)</t>
  </si>
  <si>
    <t>Revelation - Place 1 resource on Shadow-spawned, even if it is out of play.</t>
  </si>
  <si>
    <t>Perform the setup as indicated in The Dunwich Legacy Campaign Guide, with the following exceptions:_x000D_
- When gathering encounter sets, also gather the new encounter sets for Return to The Essex County Express shown here._x000D_
(Continued on reverse side.)</t>
  </si>
  <si>
    <t>Spawn - Leftmost location._x000D_
Hunter. Massive._x000D_
Forced - When The Conductor is defeated: Attach it to the current agenda. After you advance the attached agenda, draw The Conductor._x000D_
Forced - When The Conductor's location leaves play: Instead of discarding The Conductor, move it one location to the right.</t>
  </si>
  <si>
    <t>η If Engineer is ready: Parley. Test ά or έ (4). If you succeed, take control of Engineer. If you already control Engineer, discover 1 clue from your location instead. Any investigator at Engineer's location may trigger this action._x000D_
Forced - When Engineer would be discarded: Instead, heal all damage and horror from it, lose control of it, and exhaust it.</t>
  </si>
  <si>
    <t>Perform the setup as indicated in The Dunwich Legacy Campaign Guide, with the following exceptions:_x000D_
- When gathering encounter sets, also gather the new encounter sets for Return to Blood on the Altar shown here._x000D_
- Set each copy of Hired Gun aside, out of play._x000D_
- Remove the original Village Commons location from the game and replace it with the new Village Commons (Silent Decay)._x000D_
(Continued on reverse side.)</t>
  </si>
  <si>
    <t>- Add the new locations to the original locations from the Blood on the Altar encounter set. Remove 1 of the 3 copies of each of these locations from the game at random. Then, choose 1 of the 6 remaining locations at random and remove it from the game as well. Put the remaining locations into play._x000D_
- When placing encounter cards underneath locations, do not include the 6 cards from the Naomi's Crew encounter set._x000D_
- Check Campaign Log. If the O'Bannion gang has a bone to pick with the investigators: Spawn one set-aside Hired Gun at one of the locations not connected to Village Commons. Shuffle the other set-aside Hired Gun into the encounter deck.</t>
  </si>
  <si>
    <t>Each investigator at Village Commons cannot take draw or resource actions._x000D_
η: Resign. "This is suicide! We're better off hiding out the night."</t>
  </si>
  <si>
    <t>Forced - After you reveal Bishop's Brook: Test ί (4). If you fail, take 2 damage._x000D_
θ If there are no clues here: Draw the encounter card underneath Bishop's Brook. (Group limit once per game.)</t>
  </si>
  <si>
    <t>Forced - After you successfully investigate Burned Ruins: Take 1 damage._x000D_
θ If there are no clues here: Draw the encounter card underneath Burned Ruins. (Group limit once per game.)</t>
  </si>
  <si>
    <t>Forced - After you reveal Osborn's General Store: Gain 2 resources._x000D_
θ If there are no clues here: Draw the encounter card underneath Osborn's General Store. (Group limit once per game.)</t>
  </si>
  <si>
    <t>Forced - After you reveal Congregational Church: Search the encounter deck and discard pile for a copy of Kidnapped! and draw it. Shuffle the encounter deck._x000D_
θ If there are no clues here: Draw the encounter card underneath Congregational Church. (Group limit once per game.)</t>
  </si>
  <si>
    <t>While you are in the House in the Reeds, you cannot play assets._x000D_
θ If there are no clues here: Draw the encounter card underneath House in the Reeds. (Group limit once per game.)</t>
  </si>
  <si>
    <t>Forced - After you discover a clue from this location: Search the encounter deck and discard pile for a copy of Servant of Many Mouths and draw it. Shuffle the encounter deck._x000D_
θ If there are no clues here: Draw the encounter card underneath Schoolhouse. (Group limit once per game.)</t>
  </si>
  <si>
    <t>Each [[Criminal]] enemy (including Hired Gun) gains: "Hunter. Prey - Most resources."_x000D_
Each copy of Hunted Down gains peril and surge.</t>
  </si>
  <si>
    <t>Perform the setup as indicated in The Dunwich Legacy Campaign Guide, with the following exceptions:_x000D_
- When gathering encounter sets, also gather the new encounter sets for Return to Undimensioned and Unseen shown here._x000D_
(Continued on reverse side.)</t>
  </si>
  <si>
    <t>- Remove 4 copies of Brood of Yog-Sothoth from the original scenario and replace them with the 4 new versions of Brood of Yog-Sothoth from the Return to Undimensioned and Unseen encounter set._x000D_
For the duration of this scenario, the following additional rule applies:_x000D_
"If a Brood of Yog-Sothoth would be put into play, it is chosen at random from among the set-aside versions of Brood of Yog-Sothoth."_x000D_
Attach this card to the scenario reference card as a reminder.</t>
  </si>
  <si>
    <t>Massive._x000D_
Brood of Yog-Sothoth gets +1 π health and cannot be damaged or attacked except using the ability on Esoteric Formula._x000D_
Forced - After Brood of Yog-Sothoth moves for the first time each round, if it is unengaged: It immediately moves again toward a random location.</t>
  </si>
  <si>
    <t>Massive._x000D_
Brood of Yog-Sothoth gets +2 π health and cannot be damaged or attacked except using the ability on Esoteric Formula.</t>
  </si>
  <si>
    <t>Massive. Retaliate._x000D_
Brood of Yog-Sothoth gets +1 π health and cannot be damaged or attacked except using the ability on Esoteric Formula.</t>
  </si>
  <si>
    <t>Massive. Retaliate._x000D_
Brood of Yog-Sothoth gets +1 π health and cannot be damaged or attacked except using the ability on Esoteric Formula._x000D_
Forced - After Brood of Yog-Sothoth enters your location, or vice versa: Test ά (3). If you fail, take 1 horror.</t>
  </si>
  <si>
    <t>Surge._x000D_
Revelation - Attach to a Brood of Yog-Sothoth enemy in play without a copy of Imperceptible Creature attached. Remove 1 clue from that enemy._x000D_
Attached enemy gains [[Elite]].</t>
  </si>
  <si>
    <t>Perform the setup as indicated in The Dunwich Legacy Campaign Guide, with the following exceptions:_x000D_
- When gathering encounter sets, also gather the new encounter sets for Return to Where Doom Awaits shown here._x000D_
- Set Naomi O'Bannion aside, out of play._x000D_
(Continued on reverse side.)</t>
  </si>
  <si>
    <t>- Replace the original Base of the Hill and Ascending Path with the new Base of the Hill (Warped and Twisted) and Ascending Path (Warped and Twisted)._x000D_
- Add the new Diverging Path and Altered Path to the original Diverging Paths and Altered Paths. Then, randomly remove 1 of each from the game. (You will remove an additional copy of each during standard setup.)_x000D_
- Check Campaign Log. If Naomi has your back: Instead of gaining clues from the token bank via the effect from Part 1 in the Campaign Guide, the lead investigator may choose an investigator to add the set-aside Naomi O'Bannion to his or her deck. This card does not count toward that investigator's deck size.</t>
  </si>
  <si>
    <t>Base of the Hill is connected to each copy of Diverging Path._x000D_
Forced - After you discover 1 or more clues from Base of the Hill: Spend those clues and put that many random set-aside Diverging Path locations into play._x000D_
η: Resign. "This is more than I signed up for!"</t>
  </si>
  <si>
    <t>Forced - After you reveal Abandoned Camp: Lose 2 resources for each action you have performed this round (including this one, if applicable).</t>
  </si>
  <si>
    <t>Forced - After you reveal Fathomless Lake: If you have 2 or more actions remaining, place 1 doom on the current agenda.</t>
  </si>
  <si>
    <t>You get +1 έ and +1 ή._x000D_
ι When an investigator at your location reveals a non-ζ chaos token during an έ or ή test, exhaust Naomi O'Bannion: Cancel that chaos token and reveal a new chaos token. For the remainder of this test, if another copy of the canceled chaos token is revealed, cancel it and reveal a new chaos token.</t>
  </si>
  <si>
    <t>Perform the setup as indicated in The Dunwich Legacy Campaign Guide, with the following exceptions:_x000D_
- When gathering encounter sets, also gather the new encounter sets for Return to Lost in Time and Space shown here._x000D_
- Set Seth Bishop (Thrall of Yog-Sothoth) aside, out of play._x000D_
(Continued on reverse side.)</t>
  </si>
  <si>
    <t>- Check Campaign Log. If the Ritual was completed: Replace Act 2a - "Into the Beyond" with the new Act 2a - "Into the Beyond (v. II)" included in this encounter set._x000D_
- Replace Agenda 3a - "Breaking Through" with the new Agenda 3a - "Breaking Through (v. II)" included in this encounter set._x000D_
- Put the single-sided Realms Beyond location into play and spawn Yog-Sothoth there.</t>
  </si>
  <si>
    <t>Revelation - Move Yog-Sothoth to The Edge of the Universe (or Another Dimension if The Edge of the Universe is not in play). Remove Realms Beyond from the game and advance to agenda 4a. Ignore the text on Realms Beyond while resolving this ability.</t>
  </si>
  <si>
    <t>Spawn the set-aside Seth Bishop (Thrall of Yog-Sothoth) enemy at The Edge of the Universe.</t>
  </si>
  <si>
    <t>Retaliate._x000D_
Forced - When Seth Bishop attacks you during the enemy phase: Either move to Another Dimension after this attack, or Seth Bishop deals +2 damage for this attack._x000D_
Forced - After Yog-Sothoth enters Seth Bishop's location (or vice versa): Seth is devoured whole. Remove Seth Bishop from the game. Heal 6 damage from Yog-Sothoth.</t>
  </si>
  <si>
    <t>Yog-Sothoth is immune to player card effects, cannot take damage, and cannot leave Realms Beyond._x000D_
As an additional cost for you to leave Realms Beyond, test ά or ί (3). If you fail, cancel the effects of the move._x000D_
Forced - When a forced effect would move an investigator or enemy to Another Dimension: Move them here instead. Cannot be canceled.</t>
  </si>
  <si>
    <t>Revelation - Put Indecipherable Stairs into play and discard the top 3 cards of your deck._x000D_
Forced - After you leave Indecipherable Stairs: You must either take 2 horror, or discard Indecipherable Stairs.</t>
  </si>
  <si>
    <t>Revelation - Put Towering Luminosity into play and either place 1 doom on it or take 2 damage._x000D_
Forced - After you fail a test while at this location: You  must either flip 1 clue on Towering Luminosity to its doom side, or discard Towering Luminosity.</t>
  </si>
  <si>
    <t>Revelation - Put Unstable Vortex into play and discard 1 copy of Tear Through Space, if able._x000D_
Forced - At the end of your turn, if you are at Unstable Vortex: You must either draw the top card of the encounter deck, or shuffle Unstable Vortex into the encounter deck.</t>
  </si>
  <si>
    <t>Revelation - For each card in your hand, if there is a copy of that card in your discard pile, take 1 horror (to a maximum of 3 horror). If you take no horror from this effect, discard the top 3 cards of your deck.</t>
  </si>
  <si>
    <t>Peril._x000D_
Revelation - Choose two of the following actions (investigate, fight, evade, move, or play). For the remainder of the round, each investigator cannot perform each chosen action. If this is not the first copy of A Baleful Welcome drawn this phase, choose three of those actions instead.</t>
  </si>
  <si>
    <t>Revelation - Attach to your location._x000D_
As an additional cost to move into or out of attached location, discard the top card of your deck. If the discarded card is a weakness, draw it. Otherwise, for each copy of the discarded card in your hand or play area, you must either take 1 horror or discard that card.</t>
  </si>
  <si>
    <t>Peril._x000D_
Revelation - You must either (choose one):_x000D_
- Draw the top 2 cards of the encounter deck._x000D_
- Place 1 doom on the current agenda. This effect can cause the current agenda to advance.</t>
  </si>
  <si>
    <t>Revelation - Attach to the location with the most investigators, and without a Secret Door attached._x000D_
Investigators cannot leave this location._x000D_
η: Test ά (3) to search for the passage or έ (3) to discern the way out. If you succeed, discard Secret Door.</t>
  </si>
  <si>
    <t>Revelation - Test ί (4). For each point you fail by, you must either choose and discard 1 card from your play area or from your hand, or take 1 damage.</t>
  </si>
  <si>
    <t>Revelation - Attach to your location. Limit 1 per location._x000D_
Forced - After an investigator at this location draws 1 or more cards, that investigator must test ά (3). If that investigator fails, he or she chooses and discards an equal number of cards._x000D_
η η: Discard Oppressive Mists.</t>
  </si>
  <si>
    <t>Revelation - Put Violent Commands into play in your threat area._x000D_
η: Deal 2 damage to an investigator at your location and discard Violent Commands._x000D_
Forced - At the end of your turn: Test ά (3). If you fail, take 1 horror.</t>
  </si>
  <si>
    <t>Revelation - Put Idle Hands into play in your threat area._x000D_
θ If Idle Hands is in your threat area, during your turn, take 2 damage and discard Idle Hands: You may take an additional action this turn._x000D_
Forced - At the end of your turn: Take 1 horror.</t>
  </si>
  <si>
    <t>Revelation - If you have no clues, Need for Knowledge gains surge. Otherwise, test έ (X), where X equals the number of clues you have (to a maximum of 5). For each point you fail by, you must either take 1 horror or place 1 of your clues on your location.</t>
  </si>
  <si>
    <t>Hunter._x000D_
Forced - At the end of the enemy phase: Each investigator at Vassal of the Lurker's location discards 1 card from the top of his or her deck.</t>
  </si>
  <si>
    <t>Peril._x000D_
Revelation - You may draw 1 card. You may choose and discard up to 2 cards from your hand. Test ά (X). If you fail, take 2 horror. X equals the number of cards in your hand when this test begins.</t>
  </si>
  <si>
    <t>c3e9e9fd-8230-4702-9fc9-9cabba506e34</t>
  </si>
  <si>
    <t>1d67372b-eadc-4b3c-b0f8-67fa6dbb3634</t>
  </si>
  <si>
    <t>AZ</t>
  </si>
  <si>
    <t>Carolyn Fern</t>
  </si>
  <si>
    <t>The Psychologist</t>
  </si>
  <si>
    <t>Medic.</t>
  </si>
  <si>
    <t>ι After one of your card effects heals horror from an investigator or [[Ally]] asset: The healed card's controller gains 1 resource._x000D_
ε effect: +1. You may heal 1 horror from an investigator or [[Ally]] asset at your location.</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</si>
  <si>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</si>
  <si>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b394f2bb-1494-4c61-866b-6f508dff1089</t>
  </si>
  <si>
    <t>Joe Diamond</t>
  </si>
  <si>
    <t>The Private Investigator</t>
  </si>
  <si>
    <t>Detective.</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</si>
  <si>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</si>
  <si>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</si>
  <si>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dda3a082-6554-4a1c-99e3-3e268f80c6e7</t>
  </si>
  <si>
    <t>Preston Fairmont</t>
  </si>
  <si>
    <t>The Millionaire</t>
  </si>
  <si>
    <t>Silver Twilight. Socialite.</t>
  </si>
  <si>
    <t>Anytime you gain 1 or more resources from a card effect, place them on Family Inheritance instead of in your resource pool._x000D_
ε effect: +0. You may spend 2 resources to automatically succeed, instead.</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</si>
  <si>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</si>
  <si>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f64d745e-76e8-4b17-81a5-9d0db3ef956b</t>
  </si>
  <si>
    <t>Diana Stanley</t>
  </si>
  <si>
    <t>The Redeemed Cultist</t>
  </si>
  <si>
    <t>Cultist. Silver Twilight.</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</si>
  <si>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</si>
  <si>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</si>
  <si>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4cafe3c1-087e-4e0e-bcc3-ada58d5e1dbb</t>
  </si>
  <si>
    <t>Rita Young</t>
  </si>
  <si>
    <t>The Athlete</t>
  </si>
  <si>
    <t>ι After you evade an enemy: Either deal 1 damage to that enemy, or move to a connecting location. (Limit once per round.)_x000D_
ε effect: +2. Until the end of the round, ignore the limit on the above ι ability.</t>
  </si>
  <si>
    <t>Deck size: 30._x000D_
Deckbuilding Options: Survivor cards (ξ) level 0-5, Neutral cards level 0-5, [[Trick]] cards level 0-3._x000D_
Deckbuilding Requirements (do not count toward deck size): "I'm done runnin'!," Hoods, 1 random basic weakness.</t>
  </si>
  <si>
    <t>bfb911bc-2214-4eff-95f5-b5b42a3d3431</t>
  </si>
  <si>
    <t>While you have 1 or more doom among cards you control, you may take an additional action during your turn, which can only be used to play [[Spell]] cards or activate [[Spell]] η abilities._x000D_
ε effect: +1. You may add 1 doom to or remove 1 doom from a card you control.</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</si>
  <si>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</si>
  <si>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cf04f2cd-fe08-477d-9c91-2c166f42673d</t>
  </si>
  <si>
    <t>Hypnotic Therapy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</si>
  <si>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</si>
  <si>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3825c109-0aa5-49d9-b49c-b25c33788242</t>
  </si>
  <si>
    <t>Rational Thought</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</si>
  <si>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</si>
  <si>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19e8a7f7-881b-45fe-9af1-14b1e5978a92</t>
  </si>
  <si>
    <t>Detective's Colt 1911s</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</si>
  <si>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</si>
  <si>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6b9f7126-ea28-4dbe-b2ee-53cca4f43487</t>
  </si>
  <si>
    <t>Unsolved Case</t>
  </si>
  <si>
    <t>Insight. Mystery.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</si>
  <si>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</si>
  <si>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ffd72944-9abf-4323-b32c-76877aa31684</t>
  </si>
  <si>
    <t>Family Inheritance</t>
  </si>
  <si>
    <t>A Windfall? Or a Burden?</t>
  </si>
  <si>
    <t>Boon.</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</si>
  <si>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</si>
  <si>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281c7fec-343f-43cf-8abe-5eb648691bfa</t>
  </si>
  <si>
    <t>Lodge "Debts"</t>
  </si>
  <si>
    <t>Remove Lodge "Debts" from the game._x000D_
Forced - When the game ends or you are eliminated, if Lodge "Debts" is still in your hand: You suffer 1 mental trauma.</t>
  </si>
  <si>
    <t>d4b63a20-a3af-45ba-b33d-31654dd194d2</t>
  </si>
  <si>
    <t>Twilight Blade</t>
  </si>
  <si>
    <t>Sanctum's Reward</t>
  </si>
  <si>
    <t>Item. Relic. Weapon.</t>
  </si>
  <si>
    <t>cb173026-e2ea-4e55-b3aa-cb386e988658</t>
  </si>
  <si>
    <t>Dark Insight</t>
  </si>
  <si>
    <t>Diana Stanley deck only._x000D_
Fast. Play when an investigator at your location draws an encounter card or a weakness._x000D_
Cancel all of that card's effects and shuffle it back into its deck. (Do not draw a new card to replace it.)</t>
  </si>
  <si>
    <t>d8ce9a2c-1943-452f-a2c9-2b0fc7e80126</t>
  </si>
  <si>
    <t>Terrible Secret</t>
  </si>
  <si>
    <t>Revelation - If there are no card beneath Diana Stanley, shuffle Terrible Secret back into your deck. Otherwise, for each card beneath Diana Stanley, you must either discard that card or take 1 horror. Cannot be canceled.</t>
  </si>
  <si>
    <t>f93044c1-8f80-4aba-97c6-f21288ee6a8c</t>
  </si>
  <si>
    <t>"I'm done runnin'!"</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</si>
  <si>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</si>
  <si>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8d7c69e4-9ff4-4658-903d-eaabd6411a5c</t>
  </si>
  <si>
    <t>Hoods</t>
  </si>
  <si>
    <t>Prey - Rita Young only._x000D_
Alert. Hunter._x000D_
Forced - After you evade Hoods: It attacks you.</t>
  </si>
  <si>
    <t>408e4162-24b4-4e93-a0f7-e8af22ca672e</t>
  </si>
  <si>
    <t>99963b23-0d40-4758-8366-06bbd43c2c5b</t>
  </si>
  <si>
    <t>43caf116-2a77-4168-a3cb-13885b676b25</t>
  </si>
  <si>
    <t>Interrogate</t>
  </si>
  <si>
    <t>Tactic. Insight.</t>
  </si>
  <si>
    <t>Parley. Choose a [[Humanoid]] enemy at your location and test ή (3). This test gets +X difficulty, where X is the chosen enemy's damage value. If you succeed, discover 1 clue at your location and 1 clue at any other location.</t>
  </si>
  <si>
    <t>e6c87818-e603-49c0-8f09-0c7506745501</t>
  </si>
  <si>
    <t>Delay the Inevitable</t>
  </si>
  <si>
    <t>Insight. Spirit. Tactic.</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</si>
  <si>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</si>
  <si>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cdb3dc5a-bf08-4d23-842c-a4b50168df70</t>
  </si>
  <si>
    <t>Steadfast</t>
  </si>
  <si>
    <t>While you have 5 or more total remaining health and sanity, Steadfast gains ά ή (while you have 10 or more total remaining health and sanity, Steadfast gains ά ά ή ή, instead).</t>
  </si>
  <si>
    <t>d3dbcdb1-4657-4ab8-b6cf-bf74def65486</t>
  </si>
  <si>
    <t>Ace of Swords</t>
  </si>
  <si>
    <t>Let Your Arrow Fly True</t>
  </si>
  <si>
    <t>Tarot</t>
  </si>
  <si>
    <t>Tarot.</t>
  </si>
  <si>
    <t>You get +1 ή._x000D_
ι When the game begins, if Ace of Swords is in your opening hand: Put it into play.</t>
  </si>
  <si>
    <t>400e76f9-d8bf-4964-b9b6-516fe76a98fd</t>
  </si>
  <si>
    <t>Fingerprint Kit</t>
  </si>
  <si>
    <t>Item. Tool</t>
  </si>
  <si>
    <t>Uses (3 supplies)._x000D_
η Exhaust Fingerprint Kit and spend 1 supply: Investigate. You get +1 έ for this investigation. If you succeed, you discover 1 additional clue at your location.</t>
  </si>
  <si>
    <t>b9ae78d7-eb00-4df5-a22f-df7badbf3922</t>
  </si>
  <si>
    <t>Connect the Dots</t>
  </si>
  <si>
    <t>Fast. Play after you discover the last clue at your location._x000D_
Discover 2 clues at a location with a lower printed shroud value than your location.</t>
  </si>
  <si>
    <t>4a7794f9-c8be-4c42-b1ef-46d7dfdd4a0a</t>
  </si>
  <si>
    <t>Curiosity</t>
  </si>
  <si>
    <t>While you have 4 or more cards in hand, Curiosity gains ά έ (while you have 7 or more cards in hand, Curiosity gains ά ά έ έ, instead).</t>
  </si>
  <si>
    <t>cb477972-7436-4bcc-81a9-1f3829ff1afb</t>
  </si>
  <si>
    <t>Death XIII</t>
  </si>
  <si>
    <t>Free from the Past</t>
  </si>
  <si>
    <t>8ed7541a-893c-47db-96df-152e8950abc5</t>
  </si>
  <si>
    <t>Well Connected</t>
  </si>
  <si>
    <t>Limit 1 per investigator._x000D_
[fast] Exhaust Well Connected: You get +1 skill value for this skill test for every 5 resources you have.</t>
  </si>
  <si>
    <t>6a2d7bfa-30e9-4cb0-ac13-60f103eca5c7</t>
  </si>
  <si>
    <t>Money Talks</t>
  </si>
  <si>
    <t>Favor. Gambit.</t>
  </si>
  <si>
    <t>Fast. Play when you initiate a skill test._x000D_
Instead of the skill type indicated for this test (ά, έ, ή, or ί), this is a resource skill test. Your base skill value for this test is equal to half the number of resources in your resource pool (rounded down).</t>
  </si>
  <si>
    <t>562dea47-be08-4c89-b1fc-2f03d3b7cf9f</t>
  </si>
  <si>
    <t>Cunning</t>
  </si>
  <si>
    <t>While you have 5 or more resources, Cunning gains έ ί (while you have 10 or more resources, Cunning gains έ έ ί ί, instead).</t>
  </si>
  <si>
    <t>5979ffd1-1971-4802-abdd-c345fc60cb9c</t>
  </si>
  <si>
    <t>The Moon XVIII</t>
  </si>
  <si>
    <t>Message from Your Inner Self</t>
  </si>
  <si>
    <t>fa4ac919-ac11-4699-91c6-ccb37d0900f4</t>
  </si>
  <si>
    <t>Deny Existence</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</si>
  <si>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</si>
  <si>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c39b5679-d3a1-467d-8051-50047cc34281</t>
  </si>
  <si>
    <t>Eldritch Inspiration</t>
  </si>
  <si>
    <t>Fast. Play when you would resolve an effect on a μ card that triggers when a α, β, γ, δ, or ζ symbol is revealed._x000D_
Either cancel that effect, or resolve it an additional time.</t>
  </si>
  <si>
    <t>7be54dfa-9595-4c17-bc29-d678e593e8c4</t>
  </si>
  <si>
    <t>Prophesy</t>
  </si>
  <si>
    <t>While there are 3 or more doom in play, Prophesy gains ΰ (while there are 6 or more doom in play, Prophesy gains ΰ ΰ, instead).</t>
  </si>
  <si>
    <t>d58e1b85-2760-4019-9951-5a43c74c7227</t>
  </si>
  <si>
    <t>Four of Cups</t>
  </si>
  <si>
    <t>Chalice of the Heart</t>
  </si>
  <si>
    <t>You get +1 ά._x000D_
ι When the game begins, if Four of Cups is in your opening hand: Put it into play.</t>
  </si>
  <si>
    <t>0046b1cf-c6d2-425d-bd02-d49686e400fa</t>
  </si>
  <si>
    <t>Track Shoes</t>
  </si>
  <si>
    <t>Item. Clothing. Footwear.</t>
  </si>
  <si>
    <t>Limit 1 [[Footwear]] per investigator._x000D_
You get +1 ί._x000D_
ι After you move, but before enemies at your new location engage you, exhaust Track Shoes: Test ί (3). If you succeed, move to a connecting location.</t>
  </si>
  <si>
    <t>4f8887d7-511b-4094-bb50-c873e4d778dc</t>
  </si>
  <si>
    <t>Act of Desperation</t>
  </si>
  <si>
    <t>Tactic. Gambit.</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</si>
  <si>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</si>
  <si>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d5b60e5a-cb31-4b98-9c40-aed4322a2347</t>
  </si>
  <si>
    <t>Able Bodied</t>
  </si>
  <si>
    <t>While you control 2 or fewer [[Item]] assets, Able Bodied gains ή ί (while you control 1 or fewer [[Item]] assets, Able Bodied gains ή ή ί ί, instead).</t>
  </si>
  <si>
    <t>f9ad6423-0640-4045-ac80-55dd103d113a</t>
  </si>
  <si>
    <t>Five of Pentacles</t>
  </si>
  <si>
    <t>From the Brink</t>
  </si>
  <si>
    <t>You get +1 health and +1 sanity._x000D_
ι When the game begins, if Five of Pentacles is in your opening hand: Put it into play.</t>
  </si>
  <si>
    <t>78c05ca7-c225-40b4-9a58-5ec8d45f8e31</t>
  </si>
  <si>
    <t>Ace of Rods</t>
  </si>
  <si>
    <t>The Fateful Step</t>
  </si>
  <si>
    <t>479a3456-8e6c-4df7-a778-dad99d0a0f9d</t>
  </si>
  <si>
    <t>The Thirteenth Vision</t>
  </si>
  <si>
    <t>Revelation - Put The 13th Vision into play in your threat area._x000D_
Investigators at your location fail ties during skill tests._x000D_
η η: Discard The 13th Vision.</t>
  </si>
  <si>
    <t>46163897-b6a8-4c6e-86ef-27c5eeb7f443</t>
  </si>
  <si>
    <t>The Tower XVI</t>
  </si>
  <si>
    <t>Circumstances Beyond Your Control</t>
  </si>
  <si>
    <t>Omen. Tarot.</t>
  </si>
  <si>
    <t>The Circle Undone</t>
  </si>
  <si>
    <t>TCU</t>
  </si>
  <si>
    <t>57e4c960-af10-44cc-9af3-e1f4db571445</t>
  </si>
  <si>
    <t>009a9055-355a-4d33-80d1-6877af906369</t>
  </si>
  <si>
    <t>bf62dc7a-2d9f-4a41-8d90-3852188df560</t>
  </si>
  <si>
    <t>295aec50-d0a1-4934-b97d-d880573323d8</t>
  </si>
  <si>
    <t>84d907e0-b23c-43e5-9c3e-d27436076a73</t>
  </si>
  <si>
    <t>8f9953c8-71d5-4e2d-96d2-4d0b2f5c9937</t>
  </si>
  <si>
    <t>Diana Stanley deck only._x000D_
η: Fight.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</si>
  <si>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</si>
  <si>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You get +1 έ._x000D_
ι When the game begins, if Death XIII is in your opening hand: Put it into play.</t>
  </si>
  <si>
    <t>You get +1 ί._x000D_
ι When the game begins, if The Moon XVIII is in your opening hand: Put it into play.</t>
  </si>
  <si>
    <t>θ During your turn, remove Ace of Rods from the game: You may take an additional action this turn, during which you get +2 to each of your skills._x000D_
ι When the game begins, if Ace of Rods is in your opening hand: Put it into play.</t>
  </si>
  <si>
    <t>You cannot commit cards to skill tests while The Tower XVI is in your hand._x000D_
If The Tower XVI is drawn in your opening hand during setup (before or after taking a mulligan), you cannot replace it. It must stay in your opening hand.</t>
  </si>
  <si>
    <t>2b4c8a33-a070-4ffc-9763-9bf014ab2ea0</t>
  </si>
  <si>
    <t>Disappearance at the Twilight Estate</t>
  </si>
  <si>
    <t>Easy / Standard_x000D_
α: -3. If you fail and this is an attack or evasion attempt, resolve each haunted ability on your location.</t>
  </si>
  <si>
    <t>Hard / Expert_x000D_
α: -5. If you fail and this is an attack or evasion attempt, resolve each haunted ability on your location.</t>
  </si>
  <si>
    <t>9b434397-cb1c-4534-affb-efb27e8dbd66</t>
  </si>
  <si>
    <t>JUDGEMENT XX</t>
  </si>
  <si>
    <t>Forced - After doom is placed on any card: Each investigator must either take 1 damage or 1 horror (2 damage or 2 horror instead if there is 5 or more doom in play)._x000D_
Forced - When any investigator is defeated, that investigator must advance this agenda. Do not remove any doom from this agenda when it advances.</t>
  </si>
  <si>
    <t>Your Demise</t>
  </si>
  <si>
    <t>In the "Missing Persons" section of your Campaign Log, next to your character's profile, make a record of that character's fate, as follows. Then flip this agenda back over._x000D_
- If you were defeated by The Spectral Watcher's attack, record (character's name) was taken by the Watcher._x000D_
- If you were defeated by a [[Monster]] enemy's attack, record (character's name) was claimed by specters._x000D_
- If there was 7 or more doom in play when this agenda advanced, and you were defeated by horror or damage dealt by the Forced ability on agenda 1a, record (character's name) disappeared into the mist._x000D_
- If you were defeated by any other effect, record(character's name) was pulled into the spectral realm.</t>
  </si>
  <si>
    <t>baea82d4-258f-47e7-b09b-b6b041641abb</t>
  </si>
  <si>
    <t>The Disappearance</t>
  </si>
  <si>
    <t>Forced - When an investigator is eliminated: Place each of that investigator's clues on this act instead of his or her location._x000D_
Objective - Discover as many clues as you can before your inevitable demise.</t>
  </si>
  <si>
    <t>Record in your Campaign Log you are being hunted._x000D_
Flip back to Act 1a.</t>
  </si>
  <si>
    <t>ba64216c-8dfa-4aec-97d3-6b1e4720331e</t>
  </si>
  <si>
    <t>Gavriella Mizrah</t>
  </si>
  <si>
    <t>Private Security</t>
  </si>
  <si>
    <t>Veteran.</t>
  </si>
  <si>
    <t>ι After an enemy attacks you, even if that attack was canceled: Discover 1 clue at your location. (Limit once per round.)_x000D_
ε effect: +1. Heal 1 damage and 1 horror.</t>
  </si>
  <si>
    <t>Setup: You begin play in the Victorian Halls. Place 1 damage on The Spectral Watcher. Search the gathered cards for 1 copy of Fate of All Fools and put it into play in your threat area. You begin with 1 resource instead of 5._x000D_
Starting Play Area: .45 Automatic (Core 16) with 2 ammo tokens remaining, Physical Training (Core 17)._x000D_
Opening Hand: First Aid (Core 19), Guard Dog (Core 21), Evidence! (Core 22), Dodge (Core 23), Extra Ammunition (level 1) (Core 26), 2 copies of Delay the Inevitable (TCU 21).</t>
  </si>
  <si>
    <t>a43df446-cc04-457f-b402-6c80e9a41f70</t>
  </si>
  <si>
    <t>Jerome Davids</t>
  </si>
  <si>
    <t>Josef's Secretary</t>
  </si>
  <si>
    <t>Assistant. Silver Twilight.</t>
  </si>
  <si>
    <t>ι When an investigator at your location draws a treachery from the encounter deck, discard cards from your hand with a total of at least 2 έ icons: Cancel that card's revelation effect. (Limit once per round.)_x000D_
ε effect: +1. Discover 1 clue at your location.</t>
  </si>
  <si>
    <t>Setup: You begin play in the Office. Search the gathered cards for 1 copy of Nether Mist and 1 copy of Obscuring Fog. Spawn the Nether Mist in the Office and attach Obscuring Fog to the Office. You begin with 3 resources instead of 5._x000D_
Starting Play Area: Nothing._x000D_
Opening Hand: Hyperawareness (Core 34), Mind over Matter (Core 36), Working a Hunch (Core 37), Barricade (Core 38), Deduction (Core 39), Magnifying Glass (level 1) (Core 40), Fingerprint Kit (TCU 24), Connect the Dots (TCU 25), 2 copies of Curiosity (TCU 26).</t>
  </si>
  <si>
    <t>6e9e0773-f7e4-43ae-8ffa-620920faf22d</t>
  </si>
  <si>
    <t>Valentino Rivas</t>
  </si>
  <si>
    <t>Wealthy Philanthropist</t>
  </si>
  <si>
    <t>θ During a skill test you are performing, spend 2 resources: Reduce the difficulty of this test by 1. (Limit once per round.)_x000D_
ε effect: +1. Gain 2 resources.</t>
  </si>
  <si>
    <t>Setup: You begin play in the Billiards Room. Search the gathered cards for 1 copy of Shadow Hound and 1 copy of Terror in the Night. Spawn the Shadow Hound engaged with you and put Terror in the Night into play next to the agenda deck. You begin with 10 resources instead of 5._x000D_
Starting Play Area: Well Connected (TCU 28)._x000D_
Opening Hand: .41 Derringer (Core 47), Opportunist (Core 53), Sure Gamble (level 3) (Core 56), 2 copies of Money Talks (TCU 29), 2 copies of Cunning (TCU 30).</t>
  </si>
  <si>
    <t>dfcb02c6-c641-4983-990a-61c07ebb6d4c</t>
  </si>
  <si>
    <t>Penny White</t>
  </si>
  <si>
    <t>Josef's Housekeeper</t>
  </si>
  <si>
    <t>ι After you succeed at a skill test during a revelation effect: Discover 1 clue at your location. (Limit once per round.)_x000D_
ε effect: +1. If this is a skill test during a revelation effect, you may take an additional action during your next turn.</t>
  </si>
  <si>
    <t>Setup: You begin play at the Balcony. Search the gathered cards for 1 copy of Wraith and 1 copy of Whispers in the Dark. Spawn the Wraith engaged with you and put Whispers in the Dark into play next to the agenda deck. You begin with 2 resources instead of 5._x000D_
Starting Play Area: Dig Deep (Core 77), Knife (Core 86), Flashlight (Core 87) with 2 supply tokens remaining._x000D_
Opening Hand: Stray Cat (Core 76), Lucky! (Core 80), Knife (Core 86), Flashlight (Core 87), 2 copies of Act of Desperation (TCU 37), 2 copies of Able Bodied (TCU 38).</t>
  </si>
  <si>
    <t>ea36d8dc-fefc-43d2-93e5-6fe903c7ee4a</t>
  </si>
  <si>
    <t>The Witching Hour</t>
  </si>
  <si>
    <t>Easy / Standard_x000D_
α: -1. For each point you fail by, discard the top card of the encounter deck._x000D_
γ: -1. If you fail, after this test resolves, draw the bottommost treachery in the encounter discard pile._x000D_
δ: -3. If you fail, choose an exhausted or damaged [[Witch]] enemy at your location or at a connecting location. Ready that enemy and heal all damage from it.</t>
  </si>
  <si>
    <t>Hard / Expert_x000D_
α: -2. Discard cards from the top of the encounter deck equal to this test's difficulty._x000D_
γ: -2. If you fail, after this test resolves, draw the bottommost treachery in the encounter discard pile._x000D_
δ: -4. If you fail, ready each [[Witch]] enemy at your location and at each connecting location. Heal all damage from each of those enemies.</t>
  </si>
  <si>
    <t>8b6df157-2727-43c9-840f-d5db8b69f723</t>
  </si>
  <si>
    <t>TEMPERANCE XIV</t>
  </si>
  <si>
    <t>The Rite Commences</t>
  </si>
  <si>
    <t>Discard all but the last 5 cards from the encounter deck. The investigator with the most cards in his or her play area must draw the topmost [[Witch]] enemy in the encounter discard pile.</t>
  </si>
  <si>
    <t>85432ea3-4681-4263-90e4-11ece040a439</t>
  </si>
  <si>
    <t>The Night Howls</t>
  </si>
  <si>
    <t>Forced - At the end of the round: Place 1 doom on this agenda for each [[Witch]] enemy at the Witches' Circle.</t>
  </si>
  <si>
    <t>Reincarnation</t>
  </si>
  <si>
    <t>Each surviving investigator is defeated and must search the collection for a random basic [[Omen]] or [[Curse]] weakness and add it to his or her deck. Each investigator who cannot suffers 1 mental trauma instead.</t>
  </si>
  <si>
    <t>06e80e7e-f563-4923-a35c-c5b56a8dee2f</t>
  </si>
  <si>
    <t>Lost in the Woods</t>
  </si>
  <si>
    <t>Locations in front of you are connected to one another. You cannot enter locations in front of other investigators._x000D_
Objective - At the end of the round, investigators may spend the requisite number of clues, as a group, to advance.</t>
  </si>
  <si>
    <t>Deeper into the Woods</t>
  </si>
  <si>
    <t>Each investigator must randomly choose 1 of the set-aside Arkham Woods locations, put it into play in front of him or her, and immediately move to that location (cannot be canceled)._x000D_
Each investigator spawns a set-aside Goat Spawn at his or her location (if there are 4 investigators in the game, the lead investigator spawns the set-aside Relentless Dark Young, and each other investigator spawns a set-aside Goat Spawn, instead). Each investigator then tests ά or ί (3). Each investigator who succeeds exhausts that enemy and disengages from it._x000D_
Shuffle one of the set-aside copies of Daemonic Piping into the encounter deck. Place the other two copies in the encounter discard pile.</t>
  </si>
  <si>
    <t>7eb0b4b6-4951-47f0-9a15-39b69d3df4df</t>
  </si>
  <si>
    <t>Witch Hauntings</t>
  </si>
  <si>
    <t>Locations in front of you are connected to one another. You cannot enter locations in front of other investigators._x000D_
Objective - If a single investigator spends the requisite number of clues, advance.</t>
  </si>
  <si>
    <t>Strange Melodies</t>
  </si>
  <si>
    <t>For the remainder of the scenario, investigators may now enter locations in front of other investigators.</t>
  </si>
  <si>
    <t>37ae251b-0dad-4b44-a467-5d64c1c8a78c</t>
  </si>
  <si>
    <t>Paths into Twilight</t>
  </si>
  <si>
    <t>Locations in front of you are connected to one another.</t>
  </si>
  <si>
    <t>Witches' Circle</t>
  </si>
  <si>
    <t>Woods. Circle.</t>
  </si>
  <si>
    <t>Revelation - Put the Witches' Circle into play in the center of the play area, in front of none of the investigators. The lead investigator spawns the set-aside Anette Mason at the Witches' Circle._x000D_
Forced - After the enemy phase begins: Move each ready, unengaged [[Witch]] enemy once toward the Witches' Circle.</t>
  </si>
  <si>
    <t>93afdc93-d1d6-49be-bf47-792f4c3071f6</t>
  </si>
  <si>
    <t>A Circle Unbroken</t>
  </si>
  <si>
    <t>Locations in front of you are connected to one another._x000D_
Objective - If Anette Mason is defeated, advance._x000D_
Objective - If there are no clues on the Witches' Circle, advance.</t>
  </si>
  <si>
    <t>A Circle Undone</t>
  </si>
  <si>
    <t>If you advanced by defeating Anette Mason:_x000D_
"Stop!" the coven's leader yells in a commanding voice, grimacing from the wounds you've inflicted. You're not sure if she's speaking to you or to the hooded women surrounding you, but regardless, there is a sudden stillness in the clearing around the circle_x000D_
(-&gt;R1)_x000D_
If you advanced by discovering all of the clues in the Witches' Circle:_x000D_
A loud crack echoes throughout the woods as you break the circle and reverse the witches' spell. "No! They have broken the ritual!" one of the witches screams as the spell's energy backfires. White-hot lightning strikes the center of the field, sending dirt and debris flying in every direction. You duck for cover._x000D_
(-&gt;R2)</t>
  </si>
  <si>
    <t>f3071036-a8cf-4cae-b4d2-435dd7d125b8</t>
  </si>
  <si>
    <t>Anette Mason</t>
  </si>
  <si>
    <t>The High Priestess</t>
  </si>
  <si>
    <t>Humanoid. Witch. Elite.</t>
  </si>
  <si>
    <t>Retaliate._x000D_
Forced - After the enemy phase begins: Discard the top 3 cards of the encounter deck. Spawn each [[Witch]] enemy discarded by this effect at Anette Mason's location. If no [[Witch]] enemies are discarded by this effect, ready her.</t>
  </si>
  <si>
    <t>b38cbfe7-33ce-4da0-805e-ee768d55695f</t>
  </si>
  <si>
    <t>Witch-Haunted Woods</t>
  </si>
  <si>
    <t>Abandoned Mine</t>
  </si>
  <si>
    <t>You cannot investigate this location while you have between 3 and 10 resources._x000D_
θ: Choose an investigator at a different Witch-Haunted Woods. Move up to 3 of your resources to that investigator's resource pool, or vice versa. (Group limit once per round.)</t>
  </si>
  <si>
    <t>b18d6c04-3078-4f66-8d5c-b86828bfc74f</t>
  </si>
  <si>
    <t>Cairn Stones</t>
  </si>
  <si>
    <t>Forced - After any number of clues are discovered from this location: Each investigator at this location loses an equal number of resources.</t>
  </si>
  <si>
    <t>6c324a96-fa29-4be4-917f-3ada08da3c98</t>
  </si>
  <si>
    <t>The Lonely Tree</t>
  </si>
  <si>
    <t>You cannot investigate this location while you have between 3 and 5 cards in hand._x000D_
θ: You choose and discard 1 card from your hand, then an investigator at a different Witch-Haunted Woods draws 1 card, or vice versa. (Limit once per round.)</t>
  </si>
  <si>
    <t>725469f2-857d-4493-bc34-69246ac41e40</t>
  </si>
  <si>
    <t>Child's Tree House</t>
  </si>
  <si>
    <t>Forced - When the last clue is discovered from this location: Spawn the topmost enemy in the encounter discard pile at this location. (If there are no enemies in the encounter discard pile, discard cards from the top of the encounter deck until an enemy is discarded, and spawn that enemy instead.)</t>
  </si>
  <si>
    <t>bec9dfae-3210-4788-9bb6-18ee2f9d493d</t>
  </si>
  <si>
    <t>Tainted Well</t>
  </si>
  <si>
    <t>Investigators at other Witch-Haunted Woods locations can commit 1 card to each skill test performed at this location, and vice versa.</t>
  </si>
  <si>
    <t>12db67ae-bcfb-430a-a327-fd6c187f6ea2</t>
  </si>
  <si>
    <t>Hermit's House</t>
  </si>
  <si>
    <t>Forced - After any number of clues are discovered from this location: Each investigator at this location must discard an equal number of cards at random from his or her hand.</t>
  </si>
  <si>
    <t>35362464-8cb8-4431-90df-8002f357cb7b</t>
  </si>
  <si>
    <t>Overgrown Barn</t>
  </si>
  <si>
    <t>ι When an enemy would spawn at a different Witch-Haunted Woods: Spawn it at this location instead. Then, it makes an immediate attack against each investigator at this location.</t>
  </si>
  <si>
    <t>da131e3a-b1fe-42e3-b6fd-b413266a7809</t>
  </si>
  <si>
    <t>At Death's Doorstep</t>
  </si>
  <si>
    <t>Easy / Standard_x000D_
α: -1 (-3 instead if your location is haunted)._x000D_
γ: -2. If you fail and this is an attack or evasion attempt, resolve each haunted ability on your location._x000D_
δ: -2. If there is a [[Spectral]] enemy at your location, take 1 damage.</t>
  </si>
  <si>
    <t>Hard / Expert_x000D_
α: -2 (-4 instead if your location is haunted)._x000D_
γ: -3. If this is an attack or evasion attempt, resolve each haunted ability on your location._x000D_
δ: -4. If there is a [[Spectral]] enemy at your location, take 1 damage and 1 horror.</t>
  </si>
  <si>
    <t>f69b2d45-3917-4679-a48a-b6c32d47e874</t>
  </si>
  <si>
    <t>JUSTICE XI</t>
  </si>
  <si>
    <t>[[Silver Twilight]] enemies cannot be damaged or defeated._x000D_
Forced - When you draw a [[Monster]] enemy: Instead of spawning it, set it aside, out of play, and place 1 doom on this agenda. This effect can cause this agenda to advance.</t>
  </si>
  <si>
    <t>Pulled into the Shadows</t>
  </si>
  <si>
    <t>If the investigators do not possess 3 π clues as a group, they lose all of their clues._x000D_
If the investigators possess at least 3 π clues as a group, they must spend 3 π clues and spawn the set-aside Josef Meiger enemy at the location other than the Entry Hall that is farthest from all investigators._x000D_
Open the Campaign Guide and proceed to Interlude I: A Record of Those Lost._x000D_
Once this interlude has been resolved, remove all clues from each location in play, and advance to act 1b.</t>
  </si>
  <si>
    <t>77bb8257-87a1-4d81-a4c1-4240b9fa338c</t>
  </si>
  <si>
    <t>Over the Threshold</t>
  </si>
  <si>
    <t>Each [[Silver Twilight]] enemy gains Victory 0, and counts as an investigator for the purpose of determining where hunter enemies move during the enemy phase._x000D_
Forced - After the 'hunter enemies move' step of the enemy phase: Each ready [[Spectral]] enemy deals its damage value to each [[Humanoid]] enemy at its location.</t>
  </si>
  <si>
    <t>Escape, if You Can</t>
  </si>
  <si>
    <t>- If the investigators are at act 2, they are trapped inside the spectral realm. (-&gt;R3)_x000D_
- If the investigators are at act 3, they barely escape with their lives. Each investigator who has not resigned is defeated and suffers 1 physical trauma.</t>
  </si>
  <si>
    <t>bc27e822-45d7-4f1b-9e77-60cdc6dc0b1a</t>
  </si>
  <si>
    <t>Hidden Agendas</t>
  </si>
  <si>
    <t>Objective - Find information about the disappearances by discovering as many clues as you can. (Do not advance until you are instructed.) (Hint: it may be worthwhile to investigate the last known locations of the missing persons.)</t>
  </si>
  <si>
    <t>Death Approaches</t>
  </si>
  <si>
    <t>Move each investigator and each enemy currently in the Entry Hall to the Victorian Halls._x000D_
For each location in play, find the set-aside [[Spectral]] version of that location and swap them (all tokens and cards at the former location are now considered to be at the new location). If there is an investigator at that location, reveal it._x000D_
In player order, each investigator spawns one of the set-aside [[Monster]] enemies at his or her location, until each of the set-aside [[Monster]] enemies has been spawned._x000D_
Spawn the set-aside The Spectral Watcher enemy in the Entry Hall. Shuffle the remainder of the set-aside The Watcher encounter set and the set-aside Realm of Death encounter set into the encounter deck, along with the encounter discard pile.</t>
  </si>
  <si>
    <t>3828c13a-18ab-4dd5-9b3b-7347298e0c30</t>
  </si>
  <si>
    <t>The Spectral Realm</t>
  </si>
  <si>
    <t>The mist blocking your escape recedes. Reveal the Entry Hall._x000D_
Shuffle the encounter discard pile into the encounter deck.</t>
  </si>
  <si>
    <t>53513f10-8c8c-4de7-9588-854743c9ba00</t>
  </si>
  <si>
    <t>Escape the Cage</t>
  </si>
  <si>
    <t>Forced - At the end of the round: Each [[Silver Twilight]] enemy in the Entry Hall escapes; place them beneath the Entry Hall, out of play. Move each ready [[Silver Twilight]] enemy with the aloof keyword once toward the Entry Hall._x000D_
Objective - If each undefeated investigator has resigned, advance.</t>
  </si>
  <si>
    <t>Alive… for Now</t>
  </si>
  <si>
    <t>129ca894-e429-4581-8cbb-bd572ba9ad1d</t>
  </si>
  <si>
    <t>η: Resign. "I guess there is nothing to those disappearances after all."</t>
  </si>
  <si>
    <t>1ff7ca25-79c0-4c87-8493-101d6205162f</t>
  </si>
  <si>
    <t>Victorian Halls</t>
  </si>
  <si>
    <t>η: You go looking for trouble. Discard cards from the top of the encounter deck until a [[Silver Twilight]] enemy is discarded. Spawn that enemy in the Victorian Halls. Then, gain 2 clues (from the token pool). (Group limit once per game.)</t>
  </si>
  <si>
    <t>259a5244-c7c9-43d8-9c77-4676a85d28c7</t>
  </si>
  <si>
    <t>Trophy Room</t>
  </si>
  <si>
    <t>η: You spend some time schmoozing with the other guests. Either gain 2 resources, or spend 2 resources to gain 1 clue (from the token pool). (Limit once per round.)</t>
  </si>
  <si>
    <t>be515ada-a78c-4891-81fa-cf74d6ee004a</t>
  </si>
  <si>
    <t>Billiards Room</t>
  </si>
  <si>
    <t>η: Test ί (3) to compete with the other guests. If you succeed, gain 1 clue (from the token pool). (Limit once per round.)</t>
  </si>
  <si>
    <t>4074832b-b055-4b2a-9dca-c9a2e52d2bae</t>
  </si>
  <si>
    <t>Master Bedroom</t>
  </si>
  <si>
    <t>Forced - When the round ends, if there is at least 1 investigator in the Master Bedroom: Place 1 doom on the nearest [[Silver Twilight]] enemy.</t>
  </si>
  <si>
    <t>de0039c5-cce6-4f05-9c59-fc8189737913</t>
  </si>
  <si>
    <t>η Discard cards from your hand with a total of at least 3 έ icons: Parley. The guest here knows more about the Lodge than they let on. Gain 2 clues (from the token pool). (Group limit once per game.)</t>
  </si>
  <si>
    <t>aa2c8718-f180-48db-9f85-cd9a3c6bf193</t>
  </si>
  <si>
    <t>Office</t>
  </si>
  <si>
    <t>Each [[Silver Twilight]] enemy in the Office loses aloof.</t>
  </si>
  <si>
    <t>60bd4780-50d7-4c4a-b6db-2d5fa91e8916</t>
  </si>
  <si>
    <t>Spectral.</t>
  </si>
  <si>
    <t>The Entry Hall is blocked by a wall of spectral mist. You cannot enter the Entry Hall. [[Silver Twilight]] enemies cannot spawn in the Entry Hall.</t>
  </si>
  <si>
    <t>53df67ca-a8ed-48d7-9c25-b22bc945a0ef</t>
  </si>
  <si>
    <t>Haunted - Lose 1 action.</t>
  </si>
  <si>
    <t>7ccc7735-ee59-405b-a10e-720c63a2a2b2</t>
  </si>
  <si>
    <t>Haunted - Lose 2 resources. For each resource you cannot lose from this effect, take 1 horror.</t>
  </si>
  <si>
    <t>3b155317-1d7b-45f3-b8bf-ca5d8ed9aa76</t>
  </si>
  <si>
    <t>Haunted - You must either discard an asset you control or take 1 damage.</t>
  </si>
  <si>
    <t>d8e506b6-e683-4ec0-8b0c-d029324ae8dc</t>
  </si>
  <si>
    <t>Haunted - Place 1 of your clues on Master Bedroom.</t>
  </si>
  <si>
    <t>a62b0420-de03-40a9-ac89-a24fa5603823</t>
  </si>
  <si>
    <t>Haunted - Each of your cards with health takes 1 direct damage.</t>
  </si>
  <si>
    <t>a4a8c1ce-acbf-402a-a165-e6e56c176c03</t>
  </si>
  <si>
    <t>Haunted - Choose and discard a card from your hand.</t>
  </si>
  <si>
    <t>da12b973-ace4-4dbc-ae3d-4bb3b3e0cf1c</t>
  </si>
  <si>
    <t>Josef Meiger</t>
  </si>
  <si>
    <t>Lodge Host</t>
  </si>
  <si>
    <t>Humanoid. Cultist. Silver Twilight. Elite.</t>
  </si>
  <si>
    <t>Retaliate._x000D_
η If no other [[Silver Twilight]] enemy has doom on it: Parley. Test έ (4) to convince Josef that this is not your doing. If you fail, Josef Meiger attacks you. If you succeed, flip this card over and resolve its text.</t>
  </si>
  <si>
    <t>Josef's Plan</t>
  </si>
  <si>
    <t>Remove all doom from this card._x000D_
For the remainder of the game, doom cannot be placed on [[Silver Twilight]] enemies, and Josef Meiger gains aloof._x000D_
Flip this card back to its enemy side and disengage it from all investigators.</t>
  </si>
  <si>
    <t>f22407c7-4f91-44b6-9382-e889c4741131</t>
  </si>
  <si>
    <t>The Spectral Watcher</t>
  </si>
  <si>
    <t>You Are Its Prey</t>
  </si>
  <si>
    <t>Ancient One. Spectral. Elite.</t>
  </si>
  <si>
    <t>Alert. Hunter._x000D_
Forced - When The Spectral Watcher is defeated: Instead of discarding it, heal all damage from it, disengage it from all investigators, and exhaust it. It does not ready during the upkeep phase this round.</t>
  </si>
  <si>
    <t>3b041a9e-6978-46a6-bcef-a35f30ef7b7b</t>
  </si>
  <si>
    <t>Watcher's Grasp</t>
  </si>
  <si>
    <t>Power. Spectral.</t>
  </si>
  <si>
    <t>Revelation - Heal 3 damage from The Spectral Watcher. Ready The Spectral Watcher. It moves, engages, and attacks as if it were the enemy phase. Throughout the resolution of this effect, The Spectral Watcher gains "Prey - You."</t>
  </si>
  <si>
    <t>dec4454d-05ef-49ca-8915-39429b037eea</t>
  </si>
  <si>
    <t>Piper of Azathoth</t>
  </si>
  <si>
    <t>Prey - Least remaining sanity._x000D_
Alert. Hunter. Retaliate._x000D_
Forced - When the enemy phase ends: Piper of Azathoth attacks each investigator it is not engaged with at its location (regardless of whether it is ready or exhausted).</t>
  </si>
  <si>
    <t>f13a2462-7466-4b9d-b000-5e2d8c4af564</t>
  </si>
  <si>
    <t>Daemonic Piping</t>
  </si>
  <si>
    <t>Surge._x000D_
Revelation - If Piper of Azathoth is in play, deal 1 horror to each investigator at its location and at each connecting location. Otherwise, put Daemonic Piping into play next to the agenda deck._x000D_
If there are 3 copies of Daemonic Piping in play, discard them and spawn the Piper of Azathoth engaged with its prey (from any out of play area).</t>
  </si>
  <si>
    <t>343b9330-c6b0-4ad3-90b0-aef7cab1ba12</t>
  </si>
  <si>
    <t>Coven Initiate</t>
  </si>
  <si>
    <t>Humanoid. Witch.</t>
  </si>
  <si>
    <t>Revelation - Discard the top 2 cards of the encounter deck. If this effect causes the encounter deck to run out of cards, draw the topmost [[Hex]] card in the encounter discard pile.</t>
  </si>
  <si>
    <t>6348e5e1-57f3-4f44-90f0-d3593e3c43ec</t>
  </si>
  <si>
    <t>Priestess of the Coven</t>
  </si>
  <si>
    <t>Retaliate._x000D_
Priestess of the Coven gets +1 fight and +1 evade for each [[Witch]] enemy in the encounter discard pile (to a maximum of +3 fight and +3 evade)._x000D_
Forced - When the encounter deck runs out of cards: Priestess of the Coven readies and attacks each investigator at its location.</t>
  </si>
  <si>
    <t>a0ebb0e6-91c1-4839-be28-3410d18e47c0</t>
  </si>
  <si>
    <t>Diabolic Voices</t>
  </si>
  <si>
    <t>Revelation - Test ά (3). For each point you fail by, discard 1 random card from your hand. For each card you cannot discard, take 1 horror or 1 damage. This test gets +1 difficulty for each copy of Diabolic Voices in the encounter discard pile.</t>
  </si>
  <si>
    <t>e008057c-20cd-4508-bfd0-457fe32ad15f</t>
  </si>
  <si>
    <t>Wracked</t>
  </si>
  <si>
    <t>Revelation - Put Wracked into play in your threat area._x000D_
You get -1 to each of your skills during the first skill test you perform each round._x000D_
η: Test ά (3). If you succeed, discard Wracked. If there is an exhausted [[Witch]] enemy at your location, this test is automatically successful.</t>
  </si>
  <si>
    <t>e3d19014-ace7-4ea4-8e05-57f33692dd9a</t>
  </si>
  <si>
    <t>Bedeviled</t>
  </si>
  <si>
    <t>Revelation - Put Bedeviled into play in your threat area._x000D_
You cannot trigger η abilities on cards you control._x000D_
η: Test ά (3). If you succeed, discard Bedeviled. If there is an exhausted [[Witch]] enemy at your location, this test is automatically successful.</t>
  </si>
  <si>
    <t>2cfe6d4e-1ded-4217-be8f-f30c4989f16f</t>
  </si>
  <si>
    <t>Lodge Neophyte</t>
  </si>
  <si>
    <t>Spawn - Any empty location._x000D_
Aloof._x000D_
Forced - After Lodge Neophyte enters play: Place 1 doom on it._x000D_
η: Parley. Test ά (2). If you succeed, remove all doom from Lodge Neophyte.</t>
  </si>
  <si>
    <t>569ae12f-4a94-49f5-8cbd-3104502c13c6</t>
  </si>
  <si>
    <t>Keeper of Secrets</t>
  </si>
  <si>
    <t>Spawn - Any empty location._x000D_
Aloof. Retaliate._x000D_
Forced - When the mythos phase ends: Place 1 doom on Keeper of Secrets._x000D_
η: Parley. Test έ (3). If you succeed, remove all doom from Keeper of Secrets.</t>
  </si>
  <si>
    <t>779ed398-8619-4fa1-bd77-8b7be2c44c75</t>
  </si>
  <si>
    <t>Mysteries of the Lodge</t>
  </si>
  <si>
    <t>Revelation - Place 1 doom on the nearest [[Cultist]] enemy. Then, until the end of the round, increase the difficulty to fight, evade, or parley with that enemy by 2. If no doom is placed by this effect, Mysteries of the Lodge gains surge.</t>
  </si>
  <si>
    <t>edbb082b-fdd8-42de-a328-fcd65398e1fc</t>
  </si>
  <si>
    <t>Evil Past</t>
  </si>
  <si>
    <t>Revelation - Put Evil Past into play in your threat area if there is no copy of it in your threat area (if there is, discard Evil Past and it gains surge instead)._x000D_
Forced - When the encounter deck runs out of cards: Take 2 horror and test ά (3). If you succeed, discard Evil Past.</t>
  </si>
  <si>
    <t>c082467f-92dd-493c-a00a-026c26e133f5</t>
  </si>
  <si>
    <t>Centuries of Secrets</t>
  </si>
  <si>
    <t>Revelation - Test ά (5). For each point you fail by, discard the top card of the encounter deck. If a [[Curse]] treachery is discarded by this effect, deal 1 direct damage to your investigator and to each of your [[Ally]] assets.</t>
  </si>
  <si>
    <t>f7c74c76-84b8-4f5b-8cd8-a5e68cc0410b</t>
  </si>
  <si>
    <t>Nether Mist</t>
  </si>
  <si>
    <t>Monster. Spectral.</t>
  </si>
  <si>
    <t>Prey - Investigator at the location with the most clues._x000D_
Aloof. Hunter._x000D_
Nether Mist's location gains: "Haunted - Nether Mist attacks you."</t>
  </si>
  <si>
    <t>4ded3644-33e3-42cb-9465-65905d322cc1</t>
  </si>
  <si>
    <t>Shadow Hound</t>
  </si>
  <si>
    <t>Prey - Lowest ί._x000D_
Hunter. Retaliate._x000D_
Forced - After Shadow Hound attacks you: Resolve each haunted ability on your location.</t>
  </si>
  <si>
    <t>3f445c62-94aa-4015-a1cb-700977b6b023</t>
  </si>
  <si>
    <t>Whispers in the Dark</t>
  </si>
  <si>
    <t>Omen. Spectral.</t>
  </si>
  <si>
    <t>Revelation - Put Whispers in the Dark into play next to the agenda deck._x000D_
Each location gains: "Haunted - Take 1 horror."_x000D_
Forced - When the round ends: Discard Whispers in the Dark.</t>
  </si>
  <si>
    <t>98aa643b-46f1-48f1-9e5d-a10d6164490e</t>
  </si>
  <si>
    <t>Wraith</t>
  </si>
  <si>
    <t>Monster. Geist. Spectral.</t>
  </si>
  <si>
    <t>Hunter._x000D_
Forced - When Wraith is defeated by damage (except from a [[Spell]] or [[Relic]]): Instead of discarding it, attach it to its location. Attached location gains: "Haunted - Spawn Wraith at this location."</t>
  </si>
  <si>
    <t>bcd6e177-8bba-4551-98c5-688a6d65ea81</t>
  </si>
  <si>
    <t>Trapped Spirits</t>
  </si>
  <si>
    <t>Terror. Spectral.</t>
  </si>
  <si>
    <t>Revelation - Test ί (3). For each point you fail by, take 1 damage. If your location is haunted, as an additional cost for an investigator to commit 1 or more cards to this skill test, he or she must resolve each haunted ability on this location.</t>
  </si>
  <si>
    <t>7b980f47-dc9b-4ca5-9362-f8d967d6b0fa</t>
  </si>
  <si>
    <t>Realm of Torment</t>
  </si>
  <si>
    <t>Revelation - Put Realm of Torment into play in your threat area._x000D_
Forced - When your turn begins: Resolve each haunted ability on your location._x000D_
Forced - When your turn ends: Test ά (3). If you succeed, discard Realm of Torment.</t>
  </si>
  <si>
    <t>766e1693-b1eb-4590-954b-2e18072e18f9</t>
  </si>
  <si>
    <t>Shapes in the Mist</t>
  </si>
  <si>
    <t>Surge._x000D_
Revelation - Resolve each haunted ability on your location.</t>
  </si>
  <si>
    <t>2fc27237-5a64-4e53-9490-8e2f24a86465</t>
  </si>
  <si>
    <t>Terror in the Night</t>
  </si>
  <si>
    <t>Revelation - Test ά (4). If you fail, put Terror in the Night into play next to the agenda deck. If you fail by 3 or more, Terror in the Night gains surge._x000D_
If there are 3 copies of Terror in the Night next to the agenda deck, discard them and each investigator takes 3 horror.</t>
  </si>
  <si>
    <t>69fba3d3-9218-40c4-9f72-9d428de08a30</t>
  </si>
  <si>
    <t>Fate of All Fools</t>
  </si>
  <si>
    <t>Peril._x000D_
Revelation - You must decide (choose one):_x000D_
- If there is no other copy of Fate of All Fools in play, put Fate of All Fools into play in your threat area._x000D_
- An investigator with another copy of Fate of All Fools in his or her threat area takes 2 direct damage._x000D_
- Place 1 doom on another copy of Fate of All Fools.</t>
  </si>
  <si>
    <t>32851c70-7805-46c9-bd17-47b70f323441</t>
  </si>
  <si>
    <t>aa824e97-55e5-4ad0-97c4-fa2ab212a6a6</t>
  </si>
  <si>
    <t>300e6ad9-dd9e-4565-b2e0-b4a16ed891ec</t>
  </si>
  <si>
    <t>f136076f-a794-4979-a739-da6c51758aad</t>
  </si>
  <si>
    <t>The Watcher</t>
  </si>
  <si>
    <t>Agents of Azathoth</t>
  </si>
  <si>
    <t>Anette's Coven</t>
  </si>
  <si>
    <t>Witchcraft</t>
  </si>
  <si>
    <t>Silver Twilight Lodge</t>
  </si>
  <si>
    <t>City of Sins</t>
  </si>
  <si>
    <t>Spectral Predators</t>
  </si>
  <si>
    <t>Realm of Death</t>
  </si>
  <si>
    <t>Inexorable Fate</t>
  </si>
  <si>
    <t>8c95458c-8d2a-4231-b1cb-ef84e2119947</t>
  </si>
  <si>
    <t>42719279-7dc5-4336-8a17-ab5d36869424</t>
  </si>
  <si>
    <t>BA</t>
  </si>
  <si>
    <t>Something Worth Fighting For</t>
  </si>
  <si>
    <t>Something Worth Fighting For may be assigned horror dealt to other investigators at your location</t>
  </si>
  <si>
    <t>5795c17e-62b7-428c-a06a-c099d1a859b6</t>
  </si>
  <si>
    <t>Crack the Case</t>
  </si>
  <si>
    <t>Fast. Play after an investigator discovers the last remaining clue at your location._x000D_
Investigators at that location gain a total of X resources, distributed as you wish. X is that location's shroud value.</t>
  </si>
  <si>
    <t>6fac8070-faf4-4936-902b-b6894e646ca6</t>
  </si>
  <si>
    <t>Intel Report</t>
  </si>
  <si>
    <t>Favor. Service.</t>
  </si>
  <si>
    <t>47ae2b3f-03cd-40c9-9c96-913e81d7aa2b</t>
  </si>
  <si>
    <t>Sign Magick</t>
  </si>
  <si>
    <t>Ritual. Talent.</t>
  </si>
  <si>
    <t>Fast._x000D_
You have 1 additional arcane slot, which can only be used to hold a [[Spell]] or [[Ritual]] asset.</t>
  </si>
  <si>
    <t>0e928ded-d319-493a-b8db-1c6f44411740</t>
  </si>
  <si>
    <t>Banish</t>
  </si>
  <si>
    <t>0ea57635-b052-4c99-91ee-1e7533b8636a</t>
  </si>
  <si>
    <t>Meat Cleaver</t>
  </si>
  <si>
    <t>b55fc6a2-0df6-418f-9331-1274e8e8dae0</t>
  </si>
  <si>
    <t>.45 Thompson</t>
  </si>
  <si>
    <t>e0990469-269e-4da1-b3d1-af3e81ac1d64</t>
  </si>
  <si>
    <t>Scroll of Secrets</t>
  </si>
  <si>
    <t>7e8efd7c-c438-4276-883b-d7b926413feb</t>
  </si>
  <si>
    <t>Tennessee Sour Mash</t>
  </si>
  <si>
    <t>7a23722f-f292-426e-be5f-f79a96ed0d13</t>
  </si>
  <si>
    <t>Enchanted Blade</t>
  </si>
  <si>
    <t>Hand. Arcane</t>
  </si>
  <si>
    <t>14c45c43-e4cd-4c10-b65f-2dafb8cba738</t>
  </si>
  <si>
    <t>Grisly Totem</t>
  </si>
  <si>
    <t>The Secret Name</t>
  </si>
  <si>
    <t>TSN</t>
  </si>
  <si>
    <t>Discover 1 clue at your location._x000D_
ι When you play Intel Report, increase its cost by 2: Change "Discover 1 clue" to "Discover 2 clues."_x000D_
ι When you play Intel Report, increase its cost by 2: Change "at your location" to "at a location up to 2 connections away."</t>
  </si>
  <si>
    <t>Evade. Use only on a non-[[Elite]] enemy. This evasion attempt uses ά instead of ί. If you succeed, move the enemy just evaded to any location in play. If you succeed and a α, β, γ, or δ symbol was revealed during this evasion attempt, that enemy does not ready during the next upkeep phase.</t>
  </si>
  <si>
    <t>η: Fight. You get +1 ή for this attack (+2 ή instead if you have 3 or fewer remaining sanity). If this attack defeats an enemy, you may heal 1 horror. As an additional cost to initiate this ability, you may take 1 horror to have this attack deal +1 damage.</t>
  </si>
  <si>
    <t>Guardian|rogue</t>
  </si>
  <si>
    <t>Uses (5 ammo)._x000D_
η Spend 1 ammo: Fight. You get +2 ή and deal +1 damage for this attack.</t>
  </si>
  <si>
    <t>Seeker|mystic</t>
  </si>
  <si>
    <t>Uses (3 secrets)._x000D_
η Exhaust Scroll of Secrets and spend 1 secret: Look at the bottom card of any investigators's deck or the encounter deck. Then, either discard that card, add it to its owner's hand, place it on the bottom of its deck, or place it on the top of its deck.</t>
  </si>
  <si>
    <t>Rogue|survivor</t>
  </si>
  <si>
    <t>Uses (2 supplies)._x000D_
[fast] Exhaust Tennessee Sour Mash and spend 1 supply: You get +2 ά for a skill test on a teachery card._x000D_
η Discard Tennessee Sour Mash: Fight. You get +3 ή for this attack.</t>
  </si>
  <si>
    <t>Mystic|guardian</t>
  </si>
  <si>
    <t>Uses (3 charges)._x000D_
η: Fight. You get +1 ή for this attack. As an additional cost to initiate this ability, you may spend 1 charge to empower the blade. If you do, you get +1 ή and deal +1 damage for this attack.</t>
  </si>
  <si>
    <t>Survivor|seeker</t>
  </si>
  <si>
    <t>ι After you commit a card to a skill test, exhaust Grisly Totem: That card gains another instance of one of its skill icons of your choice.</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</si>
</sst>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2">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7" fillId="0" borderId="0" xfId="0" applyFont="1" applyAlignment="1">
      <alignment horizontal="left" vertical="top"/>
    </xf>
    <xf numFmtId="0" fontId="17" fillId="0" borderId="0" xfId="0" applyFont="1" applyAlignment="1">
      <alignment horizontal="left" vertical="top" wrapText="1"/>
    </xf>
    <xf numFmtId="0" fontId="17" fillId="0" borderId="0" xfId="0" applyNumberFormat="1" applyFont="1" applyAlignment="1">
      <alignment horizontal="left" vertical="top" wrapText="1"/>
    </xf>
    <xf numFmtId="0" fontId="17" fillId="9" borderId="2" xfId="0" applyNumberFormat="1" applyFont="1" applyFill="1" applyBorder="1" applyAlignment="1">
      <alignment horizontal="left" vertical="top" wrapText="1"/>
    </xf>
    <xf numFmtId="0" fontId="17" fillId="4" borderId="2" xfId="0" applyNumberFormat="1" applyFont="1" applyFill="1" applyBorder="1" applyAlignment="1">
      <alignment horizontal="left" vertical="top" wrapText="1"/>
    </xf>
    <xf numFmtId="0" fontId="17" fillId="10" borderId="2" xfId="0" applyNumberFormat="1" applyFont="1" applyFill="1" applyBorder="1" applyAlignment="1">
      <alignment horizontal="left" vertical="top" wrapText="1"/>
    </xf>
    <xf numFmtId="0" fontId="17" fillId="8" borderId="2" xfId="0" applyFont="1" applyFill="1" applyBorder="1" applyAlignment="1">
      <alignment horizontal="left" vertical="top" wrapText="1"/>
    </xf>
    <xf numFmtId="0" fontId="17" fillId="5" borderId="2" xfId="0" applyFont="1" applyFill="1" applyBorder="1" applyAlignment="1">
      <alignment horizontal="left" vertical="top" wrapText="1"/>
    </xf>
    <xf numFmtId="0" fontId="17" fillId="7" borderId="2" xfId="0" applyFont="1" applyFill="1" applyBorder="1" applyAlignment="1">
      <alignment horizontal="left" vertical="top" wrapText="1"/>
    </xf>
    <xf numFmtId="0" fontId="18" fillId="13" borderId="2" xfId="0" applyNumberFormat="1" applyFont="1" applyFill="1" applyBorder="1" applyAlignment="1">
      <alignment horizontal="left" vertical="top" wrapText="1"/>
    </xf>
    <xf numFmtId="0" fontId="18" fillId="14" borderId="2" xfId="0" applyNumberFormat="1" applyFont="1" applyFill="1" applyBorder="1" applyAlignment="1">
      <alignment horizontal="left" vertical="top" wrapText="1"/>
    </xf>
    <xf numFmtId="0" fontId="17" fillId="6" borderId="2" xfId="0" applyNumberFormat="1" applyFont="1" applyFill="1" applyBorder="1" applyAlignment="1">
      <alignment horizontal="left" vertical="top" wrapText="1"/>
    </xf>
    <xf numFmtId="0" fontId="17"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7" fillId="0" borderId="0" xfId="0" applyNumberFormat="1" applyFont="1" applyFill="1" applyAlignment="1">
      <alignment horizontal="left" vertical="top" wrapText="1"/>
    </xf>
    <xf numFmtId="11" fontId="17" fillId="0" borderId="0" xfId="0" applyNumberFormat="1" applyFont="1" applyAlignment="1">
      <alignment horizontal="left" vertical="top"/>
    </xf>
    <xf numFmtId="0" fontId="17" fillId="0" borderId="0" xfId="0" applyNumberFormat="1" applyFont="1" applyFill="1" applyAlignment="1">
      <alignment horizontal="left" vertical="top" wrapText="1"/>
    </xf>
    <xf numFmtId="0" fontId="17" fillId="0" borderId="0" xfId="0" applyFont="1" applyFill="1" applyAlignment="1">
      <alignment horizontal="left" vertical="top" wrapText="1"/>
    </xf>
    <xf numFmtId="0" fontId="17" fillId="0" borderId="0" xfId="0" quotePrefix="1" applyFont="1" applyAlignment="1">
      <alignment horizontal="left" vertical="top" wrapText="1"/>
    </xf>
    <xf numFmtId="0" fontId="17" fillId="9" borderId="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10" borderId="2"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4" borderId="2" xfId="0" applyFont="1" applyFill="1" applyBorder="1" applyAlignment="1">
      <alignment horizontal="left" vertical="top" wrapText="1"/>
    </xf>
    <xf numFmtId="0" fontId="17"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1" fillId="0" borderId="0" xfId="0" applyFont="1" applyAlignment="1">
      <alignment wrapText="1"/>
    </xf>
    <xf numFmtId="11" fontId="17" fillId="0" borderId="0" xfId="0" applyNumberFormat="1" applyFont="1" applyAlignment="1">
      <alignment horizontal="left" vertical="top" wrapText="1"/>
    </xf>
    <xf numFmtId="0" fontId="1" fillId="16" borderId="0" xfId="0" applyFont="1" applyFill="1"/>
    <xf numFmtId="49" fontId="1" fillId="16" borderId="0" xfId="0" applyNumberFormat="1" applyFont="1" applyFill="1"/>
    <xf numFmtId="0" fontId="1" fillId="17" borderId="0" xfId="0" applyFont="1" applyFill="1" applyAlignment="1">
      <alignment horizontal="left" vertical="top"/>
    </xf>
    <xf numFmtId="0" fontId="1" fillId="0" borderId="0" xfId="0" applyFont="1" applyAlignment="1">
      <alignment horizontal="left" vertical="top"/>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cellXfs>
  <cellStyles count="1">
    <cellStyle name="Normal" xfId="0" builtinId="0"/>
  </cellStyles>
  <dxfs count="215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ill>
        <gradientFill>
          <stop position="0">
            <color rgb="FFFFC000"/>
          </stop>
          <stop position="1">
            <color rgb="FF7030A0"/>
          </stop>
        </gradientFill>
      </fill>
    </dxf>
    <dxf>
      <fill>
        <gradientFill>
          <stop position="0">
            <color rgb="FF00B050"/>
          </stop>
          <stop position="1">
            <color rgb="FFFF0000"/>
          </stop>
        </gradientFill>
      </fill>
    </dxf>
    <dxf>
      <fill>
        <gradientFill>
          <stop position="0">
            <color rgb="FF7030A0"/>
          </stop>
          <stop position="1">
            <color rgb="FF00B0F0"/>
          </stop>
        </gradientFill>
      </fill>
    </dxf>
    <dxf>
      <fill>
        <gradientFill>
          <stop position="0">
            <color rgb="FFFF0000"/>
          </stop>
          <stop position="1">
            <color rgb="FFFFC000"/>
          </stop>
        </gradientFill>
      </fill>
    </dxf>
    <dxf>
      <fill>
        <gradientFill>
          <stop position="0">
            <color rgb="FFFF0000"/>
          </stop>
          <stop position="1">
            <color rgb="FFFFC000"/>
          </stop>
        </gradientFill>
      </fill>
    </dxf>
    <dxf>
      <fill>
        <gradientFill>
          <stop position="0">
            <color rgb="FF7030A0"/>
          </stop>
          <stop position="1">
            <color rgb="FF00B0F0"/>
          </stop>
        </gradientFill>
      </fill>
    </dxf>
    <dxf>
      <fill>
        <gradientFill>
          <stop position="0">
            <color rgb="FF00B050"/>
          </stop>
          <stop position="1">
            <color rgb="FFFF0000"/>
          </stop>
        </gradientFill>
      </fill>
    </dxf>
    <dxf>
      <fill>
        <gradientFill>
          <stop position="0">
            <color rgb="FFFFC000"/>
          </stop>
          <stop position="1">
            <color rgb="FF7030A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ill>
        <gradientFill>
          <stop position="0">
            <color rgb="FFFFC000"/>
          </stop>
          <stop position="1">
            <color rgb="FF7030A0"/>
          </stop>
        </gradientFill>
      </fill>
    </dxf>
    <dxf>
      <fill>
        <gradientFill>
          <stop position="0">
            <color rgb="FF00B050"/>
          </stop>
          <stop position="1">
            <color rgb="FFFF0000"/>
          </stop>
        </gradientFill>
      </fill>
    </dxf>
    <dxf>
      <fill>
        <gradientFill>
          <stop position="0">
            <color rgb="FF7030A0"/>
          </stop>
          <stop position="1">
            <color rgb="FF00B0F0"/>
          </stop>
        </gradientFill>
      </fill>
    </dxf>
    <dxf>
      <fill>
        <gradientFill>
          <stop position="0">
            <color rgb="FFFF0000"/>
          </stop>
          <stop position="1">
            <color rgb="FFFFC00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ill>
        <gradientFill>
          <stop position="0">
            <color rgb="FFFFC000"/>
          </stop>
          <stop position="1">
            <color rgb="FF7030A0"/>
          </stop>
        </gradientFill>
      </fill>
    </dxf>
    <dxf>
      <fill>
        <gradientFill>
          <stop position="0">
            <color rgb="FF00B050"/>
          </stop>
          <stop position="1">
            <color rgb="FFFF0000"/>
          </stop>
        </gradientFill>
      </fill>
    </dxf>
    <dxf>
      <fill>
        <gradientFill>
          <stop position="0">
            <color rgb="FF7030A0"/>
          </stop>
          <stop position="1">
            <color rgb="FF00B0F0"/>
          </stop>
        </gradientFill>
      </fill>
    </dxf>
    <dxf>
      <fill>
        <gradientFill>
          <stop position="0">
            <color rgb="FFFF0000"/>
          </stop>
          <stop position="1">
            <color rgb="FFFFC00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2"/>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AA31" sqref="AA31"/>
    </sheetView>
  </sheetViews>
  <sheetFormatPr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88" t="s">
        <v>175</v>
      </c>
      <c r="H1" s="189"/>
      <c r="I1" s="189"/>
      <c r="J1" s="190"/>
      <c r="K1" s="150"/>
      <c r="L1" s="150"/>
      <c r="M1" s="151"/>
      <c r="N1" s="191" t="s">
        <v>4</v>
      </c>
      <c r="O1" s="191"/>
      <c r="P1" s="191"/>
      <c r="Q1" s="191"/>
      <c r="R1" s="191"/>
      <c r="S1" s="191"/>
      <c r="T1" s="191"/>
      <c r="U1" s="11"/>
      <c r="V1" s="191" t="s">
        <v>225</v>
      </c>
      <c r="W1" s="191"/>
      <c r="X1" s="191"/>
      <c r="Y1" s="191"/>
      <c r="Z1" s="191"/>
      <c r="AA1" s="191"/>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row r="27" spans="1:27">
      <c r="A27" s="182" t="s">
        <v>4951</v>
      </c>
      <c r="B27" s="4" t="s">
        <v>4952</v>
      </c>
      <c r="C27" s="6" t="s">
        <v>174</v>
      </c>
      <c r="E27" s="4" t="s">
        <v>4953</v>
      </c>
      <c r="G27" s="13">
        <f>SUMIF('Card Data'!$A:$A,$A27,'Card Data'!$E:$E)</f>
        <v>60</v>
      </c>
      <c r="H27" s="13">
        <f>SUMIFS('Card Data'!$E:$E,'Card Data'!$A:$A,$A27,'Card Data'!$K:$K,"&lt;&gt;",'Card Data'!$J:$J,"&lt;&gt;Investigator")-SUMIFS('Card Data'!$E:$E,'Card Data'!$A:$A,$A27,'Card Data'!$K:$K,"&lt;&gt;",'Card Data'!$J:$J,"Mini")</f>
        <v>60</v>
      </c>
      <c r="I27" s="13">
        <f>SUMIFS('Card Data'!$E:$E,'Card Data'!$A:$A,$A27,'Card Data'!$K:$K,"",'Card Data'!$J:$J,"&lt;&gt;Campaign")+SUMIFS('Card Data'!$E:$E,'Card Data'!$A:$A,$A27,'Card Data'!$K:$K,"Mythos")-J27</f>
        <v>28</v>
      </c>
      <c r="J27" s="13">
        <f>SUMIFS('Card Data'!$E:$E,'Card Data'!$J:$J,J$2,'Card Data'!$A:$A,$A27,'Card Data'!$AD:$AD,"&lt;&gt;*Side Quest.*")</f>
        <v>7</v>
      </c>
      <c r="K27" s="13">
        <f>COUNTIFS('Card Data'!$J:$J,K$2,'Card Data'!$A:$A,$A27,'Card Data'!$AD:$AD,"&lt;&gt;*Side Quest.*")</f>
        <v>1</v>
      </c>
      <c r="L27" s="13">
        <f>COUNTIFS('Card Data'!$J:$J,L$2,'Card Data'!$A:$A,$A27,'Card Data'!$AD:$AD,"&lt;&gt;*Side Quest.*")</f>
        <v>1</v>
      </c>
      <c r="M27" s="15"/>
      <c r="N27" s="13">
        <f>COUNTIFS('Card Data'!$J:$J,N$2,'Card Data'!$A:$A,$A27)</f>
        <v>0</v>
      </c>
      <c r="O27" s="13">
        <f>COUNTIFS('Card Data'!$J:$J,O$2,'Card Data'!$A:$A,$A27)</f>
        <v>10</v>
      </c>
      <c r="P27" s="13">
        <f>COUNTIFS('Card Data'!$J:$J,P$2,'Card Data'!$A:$A,$A27)</f>
        <v>3</v>
      </c>
      <c r="Q27" s="13">
        <f>COUNTIFS('Card Data'!$J:$J,Q$2,'Card Data'!$A:$A,$A27)</f>
        <v>0</v>
      </c>
      <c r="R27" s="13">
        <f>COUNTIFS('Card Data'!$J:$J,R$2,'Card Data'!$A:$A,$A27)</f>
        <v>3</v>
      </c>
      <c r="S27" s="13">
        <f>COUNTIFS('Card Data'!$J:$J,S$2,'Card Data'!$A:$A,$A27)</f>
        <v>10</v>
      </c>
      <c r="T27" s="13">
        <f>COUNTIFS('Card Data'!$J:$J,T$2,'Card Data'!$A:$A,$A27)</f>
        <v>4</v>
      </c>
      <c r="U27" s="15"/>
      <c r="V27" s="13">
        <f>COUNTIFS('Card Data'!$K:$K,V$2,'Card Data'!$A:$A,$A27)</f>
        <v>2</v>
      </c>
      <c r="W27" s="13">
        <f>COUNTIFS('Card Data'!$K:$K,W$2,'Card Data'!$A:$A,$A27)</f>
        <v>1</v>
      </c>
      <c r="X27" s="13">
        <f>COUNTIFS('Card Data'!$K:$K,X$2,'Card Data'!$A:$A,$A27)</f>
        <v>3</v>
      </c>
      <c r="Y27" s="13">
        <f>COUNTIFS('Card Data'!$K:$K,Y$2,'Card Data'!$A:$A,$A27)</f>
        <v>1</v>
      </c>
      <c r="Z27" s="13">
        <f>COUNTIFS('Card Data'!$K:$K,Z$2,'Card Data'!$A:$A,$A27)</f>
        <v>2</v>
      </c>
      <c r="AA27" s="13">
        <f>COUNTIFS('Card Data'!$K:$K,AA$2,'Card Data'!$A:$A,$A27)</f>
        <v>4</v>
      </c>
    </row>
    <row r="28" spans="1:27">
      <c r="A28" s="4" t="s">
        <v>5088</v>
      </c>
      <c r="B28" s="4" t="s">
        <v>5090</v>
      </c>
      <c r="C28" s="6" t="s">
        <v>174</v>
      </c>
      <c r="E28" s="4" t="s">
        <v>5092</v>
      </c>
      <c r="G28" s="13">
        <f>SUMIF('Card Data'!$A:$A,$A28,'Card Data'!$E:$E)</f>
        <v>60</v>
      </c>
      <c r="H28" s="13">
        <f>SUMIFS('Card Data'!$E:$E,'Card Data'!$A:$A,$A28,'Card Data'!$K:$K,"&lt;&gt;",'Card Data'!$J:$J,"&lt;&gt;Investigator")-SUMIFS('Card Data'!$E:$E,'Card Data'!$A:$A,$A28,'Card Data'!$K:$K,"&lt;&gt;",'Card Data'!$J:$J,"Mini")</f>
        <v>60</v>
      </c>
      <c r="I28" s="13">
        <f>SUMIFS('Card Data'!$E:$E,'Card Data'!$A:$A,$A28,'Card Data'!$K:$K,"",'Card Data'!$J:$J,"&lt;&gt;Campaign")+SUMIFS('Card Data'!$E:$E,'Card Data'!$A:$A,$A28,'Card Data'!$K:$K,"Mythos")-J28</f>
        <v>36</v>
      </c>
      <c r="J28" s="13">
        <f>SUMIFS('Card Data'!$E:$E,'Card Data'!$J:$J,J$2,'Card Data'!$A:$A,$A28,'Card Data'!$AD:$AD,"&lt;&gt;*Side Quest.*")</f>
        <v>3</v>
      </c>
      <c r="K28" s="13">
        <f>COUNTIFS('Card Data'!$J:$J,K$2,'Card Data'!$A:$A,$A28,'Card Data'!$AD:$AD,"&lt;&gt;*Side Quest.*")</f>
        <v>9</v>
      </c>
      <c r="L28" s="13">
        <f>COUNTIFS('Card Data'!$J:$J,L$2,'Card Data'!$A:$A,$A28,'Card Data'!$AD:$AD,"&lt;&gt;*Side Quest.*")</f>
        <v>2</v>
      </c>
      <c r="M28" s="15"/>
      <c r="N28" s="13">
        <f>COUNTIFS('Card Data'!$J:$J,N$2,'Card Data'!$A:$A,$A28)</f>
        <v>0</v>
      </c>
      <c r="O28" s="13">
        <f>COUNTIFS('Card Data'!$J:$J,O$2,'Card Data'!$A:$A,$A28)</f>
        <v>7</v>
      </c>
      <c r="P28" s="13">
        <f>COUNTIFS('Card Data'!$J:$J,P$2,'Card Data'!$A:$A,$A28)</f>
        <v>3</v>
      </c>
      <c r="Q28" s="13">
        <f>COUNTIFS('Card Data'!$J:$J,Q$2,'Card Data'!$A:$A,$A28)</f>
        <v>1</v>
      </c>
      <c r="R28" s="13">
        <f>COUNTIFS('Card Data'!$J:$J,R$2,'Card Data'!$A:$A,$A28)</f>
        <v>4</v>
      </c>
      <c r="S28" s="13">
        <f>COUNTIFS('Card Data'!$J:$J,S$2,'Card Data'!$A:$A,$A28)</f>
        <v>11</v>
      </c>
      <c r="T28" s="13">
        <f>COUNTIFS('Card Data'!$J:$J,T$2,'Card Data'!$A:$A,$A28)</f>
        <v>4</v>
      </c>
      <c r="U28" s="15"/>
      <c r="V28" s="13">
        <f>COUNTIFS('Card Data'!$K:$K,V$2,'Card Data'!$A:$A,$A28)</f>
        <v>2</v>
      </c>
      <c r="W28" s="13">
        <f>COUNTIFS('Card Data'!$K:$K,W$2,'Card Data'!$A:$A,$A28)</f>
        <v>2</v>
      </c>
      <c r="X28" s="13">
        <f>COUNTIFS('Card Data'!$K:$K,X$2,'Card Data'!$A:$A,$A28)</f>
        <v>2</v>
      </c>
      <c r="Y28" s="13">
        <f>COUNTIFS('Card Data'!$K:$K,Y$2,'Card Data'!$A:$A,$A28)</f>
        <v>2</v>
      </c>
      <c r="Z28" s="13">
        <f>COUNTIFS('Card Data'!$K:$K,Z$2,'Card Data'!$A:$A,$A28)</f>
        <v>2</v>
      </c>
      <c r="AA28" s="13">
        <f>COUNTIFS('Card Data'!$K:$K,AA$2,'Card Data'!$A:$A,$A28)</f>
        <v>1</v>
      </c>
    </row>
    <row r="29" spans="1:27">
      <c r="A29" s="184" t="s">
        <v>5089</v>
      </c>
      <c r="B29" s="184" t="s">
        <v>5091</v>
      </c>
      <c r="C29" s="185" t="s">
        <v>174</v>
      </c>
      <c r="D29" s="184"/>
      <c r="E29" s="184" t="s">
        <v>5093</v>
      </c>
      <c r="G29" s="13">
        <f>SUMIF('Card Data'!$A:$A,$A29,'Card Data'!$E:$E)</f>
        <v>80</v>
      </c>
      <c r="H29" s="13">
        <f>SUMIFS('Card Data'!$E:$E,'Card Data'!$A:$A,$A29,'Card Data'!$K:$K,"&lt;&gt;",'Card Data'!$J:$J,"&lt;&gt;Investigator")-SUMIFS('Card Data'!$E:$E,'Card Data'!$A:$A,$A29,'Card Data'!$K:$K,"&lt;&gt;",'Card Data'!$J:$J,"Mini")</f>
        <v>80</v>
      </c>
      <c r="I29" s="13">
        <f>SUMIFS('Card Data'!$E:$E,'Card Data'!$A:$A,$A29,'Card Data'!$K:$K,"",'Card Data'!$J:$J,"&lt;&gt;Campaign")+SUMIFS('Card Data'!$E:$E,'Card Data'!$A:$A,$A29,'Card Data'!$K:$K,"Mythos")-J29</f>
        <v>66</v>
      </c>
      <c r="J29" s="13">
        <f>SUMIFS('Card Data'!$E:$E,'Card Data'!$J:$J,J$2,'Card Data'!$A:$A,$A29,'Card Data'!$AD:$AD,"&lt;&gt;*Side Quest.*")</f>
        <v>5</v>
      </c>
      <c r="K29" s="13">
        <f>COUNTIFS('Card Data'!$J:$J,K$2,'Card Data'!$A:$A,$A29,'Card Data'!$AD:$AD,"&lt;&gt;*Side Quest.*")</f>
        <v>9</v>
      </c>
      <c r="L29" s="13">
        <f>COUNTIFS('Card Data'!$J:$J,L$2,'Card Data'!$A:$A,$A29,'Card Data'!$AD:$AD,"&lt;&gt;*Side Quest.*")</f>
        <v>1</v>
      </c>
      <c r="M29" s="15"/>
      <c r="N29" s="13">
        <f>COUNTIFS('Card Data'!$J:$J,N$2,'Card Data'!$A:$A,$A29)</f>
        <v>0</v>
      </c>
      <c r="O29" s="13">
        <f>COUNTIFS('Card Data'!$J:$J,O$2,'Card Data'!$A:$A,$A29)</f>
        <v>9</v>
      </c>
      <c r="P29" s="13">
        <f>COUNTIFS('Card Data'!$J:$J,P$2,'Card Data'!$A:$A,$A29)</f>
        <v>0</v>
      </c>
      <c r="Q29" s="13">
        <f>COUNTIFS('Card Data'!$J:$J,Q$2,'Card Data'!$A:$A,$A29)</f>
        <v>0</v>
      </c>
      <c r="R29" s="13">
        <f>COUNTIFS('Card Data'!$J:$J,R$2,'Card Data'!$A:$A,$A29)</f>
        <v>7</v>
      </c>
      <c r="S29" s="13">
        <f>COUNTIFS('Card Data'!$J:$J,S$2,'Card Data'!$A:$A,$A29)</f>
        <v>17</v>
      </c>
      <c r="T29" s="13">
        <f>COUNTIFS('Card Data'!$J:$J,T$2,'Card Data'!$A:$A,$A29)</f>
        <v>7</v>
      </c>
      <c r="U29" s="15"/>
      <c r="V29" s="13">
        <f>COUNTIFS('Card Data'!$K:$K,V$2,'Card Data'!$A:$A,$A29)</f>
        <v>0</v>
      </c>
      <c r="W29" s="13">
        <f>COUNTIFS('Card Data'!$K:$K,W$2,'Card Data'!$A:$A,$A29)</f>
        <v>0</v>
      </c>
      <c r="X29" s="13">
        <f>COUNTIFS('Card Data'!$K:$K,X$2,'Card Data'!$A:$A,$A29)</f>
        <v>0</v>
      </c>
      <c r="Y29" s="13">
        <f>COUNTIFS('Card Data'!$K:$K,Y$2,'Card Data'!$A:$A,$A29)</f>
        <v>0</v>
      </c>
      <c r="Z29" s="13">
        <f>COUNTIFS('Card Data'!$K:$K,Z$2,'Card Data'!$A:$A,$A29)</f>
        <v>0</v>
      </c>
      <c r="AA29" s="13">
        <f>COUNTIFS('Card Data'!$K:$K,AA$2,'Card Data'!$A:$A,$A29)</f>
        <v>9</v>
      </c>
    </row>
    <row r="30" spans="1:27">
      <c r="A30" s="166" t="s">
        <v>5461</v>
      </c>
      <c r="B30" s="166" t="s">
        <v>5462</v>
      </c>
      <c r="C30" s="167" t="s">
        <v>174</v>
      </c>
      <c r="D30" s="166"/>
      <c r="E30" s="166" t="s">
        <v>5463</v>
      </c>
      <c r="G30" s="13">
        <f>SUMIF('Card Data'!$A:$A,$A30,'Card Data'!$E:$E)</f>
        <v>105</v>
      </c>
      <c r="H30" s="13">
        <f>SUMIFS('Card Data'!$E:$E,'Card Data'!$A:$A,$A30,'Card Data'!$K:$K,"&lt;&gt;",'Card Data'!$J:$J,"&lt;&gt;Investigator")-SUMIFS('Card Data'!$E:$E,'Card Data'!$A:$A,$A30,'Card Data'!$K:$K,"&lt;&gt;",'Card Data'!$J:$J,"Mini")</f>
        <v>105</v>
      </c>
      <c r="I30" s="13">
        <f>SUMIFS('Card Data'!$E:$E,'Card Data'!$A:$A,$A30,'Card Data'!$K:$K,"",'Card Data'!$J:$J,"&lt;&gt;Campaign")+SUMIFS('Card Data'!$E:$E,'Card Data'!$A:$A,$A30,'Card Data'!$K:$K,"Mythos")-J30</f>
        <v>78</v>
      </c>
      <c r="J30" s="13">
        <f>SUMIFS('Card Data'!$E:$E,'Card Data'!$J:$J,J$2,'Card Data'!$A:$A,$A30,'Card Data'!$AD:$AD,"&lt;&gt;*Side Quest.*")</f>
        <v>3</v>
      </c>
      <c r="K30" s="13">
        <f>COUNTIFS('Card Data'!$J:$J,K$2,'Card Data'!$A:$A,$A30,'Card Data'!$AD:$AD,"&lt;&gt;*Side Quest.*")</f>
        <v>1</v>
      </c>
      <c r="L30" s="13">
        <f>COUNTIFS('Card Data'!$J:$J,L$2,'Card Data'!$A:$A,$A30,'Card Data'!$AD:$AD,"&lt;&gt;*Side Quest.*")</f>
        <v>8</v>
      </c>
      <c r="M30" s="15"/>
      <c r="N30" s="13">
        <f>COUNTIFS('Card Data'!$J:$J,N$2,'Card Data'!$A:$A,$A30)</f>
        <v>0</v>
      </c>
      <c r="O30" s="13">
        <f>COUNTIFS('Card Data'!$J:$J,O$2,'Card Data'!$A:$A,$A30)</f>
        <v>7</v>
      </c>
      <c r="P30" s="13">
        <f>COUNTIFS('Card Data'!$J:$J,P$2,'Card Data'!$A:$A,$A30)</f>
        <v>4</v>
      </c>
      <c r="Q30" s="13">
        <f>COUNTIFS('Card Data'!$J:$J,Q$2,'Card Data'!$A:$A,$A30)</f>
        <v>1</v>
      </c>
      <c r="R30" s="13">
        <f>COUNTIFS('Card Data'!$J:$J,R$2,'Card Data'!$A:$A,$A30)</f>
        <v>9</v>
      </c>
      <c r="S30" s="13">
        <f>COUNTIFS('Card Data'!$J:$J,S$2,'Card Data'!$A:$A,$A30)</f>
        <v>23</v>
      </c>
      <c r="T30" s="13">
        <f>COUNTIFS('Card Data'!$J:$J,T$2,'Card Data'!$A:$A,$A30)</f>
        <v>17</v>
      </c>
      <c r="U30" s="15"/>
      <c r="V30" s="13">
        <f>COUNTIFS('Card Data'!$K:$K,V$2,'Card Data'!$A:$A,$A30)</f>
        <v>2</v>
      </c>
      <c r="W30" s="13">
        <f>COUNTIFS('Card Data'!$K:$K,W$2,'Card Data'!$A:$A,$A30)</f>
        <v>2</v>
      </c>
      <c r="X30" s="13">
        <f>COUNTIFS('Card Data'!$K:$K,X$2,'Card Data'!$A:$A,$A30)</f>
        <v>2</v>
      </c>
      <c r="Y30" s="13">
        <f>COUNTIFS('Card Data'!$K:$K,Y$2,'Card Data'!$A:$A,$A30)</f>
        <v>2</v>
      </c>
      <c r="Z30" s="13">
        <f>COUNTIFS('Card Data'!$K:$K,Z$2,'Card Data'!$A:$A,$A30)</f>
        <v>2</v>
      </c>
      <c r="AA30" s="13">
        <f>COUNTIFS('Card Data'!$K:$K,AA$2,'Card Data'!$A:$A,$A30)</f>
        <v>3</v>
      </c>
    </row>
    <row r="31" spans="1:27">
      <c r="A31" s="186" t="s">
        <v>5693</v>
      </c>
      <c r="B31" s="39" t="s">
        <v>5847</v>
      </c>
      <c r="C31" s="138" t="s">
        <v>174</v>
      </c>
      <c r="D31" s="39"/>
      <c r="E31" s="39" t="s">
        <v>5848</v>
      </c>
      <c r="G31" s="13">
        <f>SUMIF('Card Data'!$A:$A,$A31,'Card Data'!$E:$E)</f>
        <v>166</v>
      </c>
      <c r="H31" s="13">
        <f>SUMIFS('Card Data'!$E:$E,'Card Data'!$A:$A,$A31,'Card Data'!$K:$K,"&lt;&gt;",'Card Data'!$J:$J,"&lt;&gt;Investigator")-SUMIFS('Card Data'!$E:$E,'Card Data'!$A:$A,$A31,'Card Data'!$K:$K,"&lt;&gt;",'Card Data'!$J:$J,"Mini")</f>
        <v>146</v>
      </c>
      <c r="I31" s="13">
        <f>SUMIFS('Card Data'!$E:$E,'Card Data'!$A:$A,$A31,'Card Data'!$K:$K,"",'Card Data'!$J:$J,"&lt;&gt;Campaign")+SUMIFS('Card Data'!$E:$E,'Card Data'!$A:$A,$A31,'Card Data'!$K:$K,"Mythos")-J31</f>
        <v>84</v>
      </c>
      <c r="J31" s="13">
        <f>SUMIFS('Card Data'!$E:$E,'Card Data'!$J:$J,J$2,'Card Data'!$A:$A,$A31,'Card Data'!$AD:$AD,"&lt;&gt;*Side Quest.*")</f>
        <v>5</v>
      </c>
      <c r="K31" s="13">
        <f>COUNTIFS('Card Data'!$J:$J,K$2,'Card Data'!$A:$A,$A31,'Card Data'!$AD:$AD,"&lt;&gt;*Side Quest.*")</f>
        <v>8</v>
      </c>
      <c r="L31" s="13">
        <f>COUNTIFS('Card Data'!$J:$J,L$2,'Card Data'!$A:$A,$A31,'Card Data'!$AD:$AD,"&lt;&gt;*Side Quest.*")</f>
        <v>3</v>
      </c>
      <c r="M31" s="15"/>
      <c r="N31" s="13">
        <f>COUNTIFS('Card Data'!$J:$J,N$2,'Card Data'!$A:$A,$A31)</f>
        <v>10</v>
      </c>
      <c r="O31" s="13">
        <f>COUNTIFS('Card Data'!$J:$J,O$2,'Card Data'!$A:$A,$A31)</f>
        <v>15</v>
      </c>
      <c r="P31" s="13">
        <f>COUNTIFS('Card Data'!$J:$J,P$2,'Card Data'!$A:$A,$A31)</f>
        <v>13</v>
      </c>
      <c r="Q31" s="13">
        <f>COUNTIFS('Card Data'!$J:$J,Q$2,'Card Data'!$A:$A,$A31)</f>
        <v>4</v>
      </c>
      <c r="R31" s="13">
        <f>COUNTIFS('Card Data'!$J:$J,R$2,'Card Data'!$A:$A,$A31)</f>
        <v>12</v>
      </c>
      <c r="S31" s="13">
        <f>COUNTIFS('Card Data'!$J:$J,S$2,'Card Data'!$A:$A,$A31)</f>
        <v>21</v>
      </c>
      <c r="T31" s="13">
        <f>COUNTIFS('Card Data'!$J:$J,T$2,'Card Data'!$A:$A,$A31)</f>
        <v>17</v>
      </c>
      <c r="U31" s="15"/>
      <c r="V31" s="13">
        <f>COUNTIFS('Card Data'!$K:$K,V$2,'Card Data'!$A:$A,$A31)</f>
        <v>6</v>
      </c>
      <c r="W31" s="13">
        <f>COUNTIFS('Card Data'!$K:$K,W$2,'Card Data'!$A:$A,$A31)</f>
        <v>6</v>
      </c>
      <c r="X31" s="13">
        <f>COUNTIFS('Card Data'!$K:$K,X$2,'Card Data'!$A:$A,$A31)</f>
        <v>6</v>
      </c>
      <c r="Y31" s="13">
        <f>COUNTIFS('Card Data'!$K:$K,Y$2,'Card Data'!$A:$A,$A31)</f>
        <v>8</v>
      </c>
      <c r="Z31" s="13">
        <f>COUNTIFS('Card Data'!$K:$K,Z$2,'Card Data'!$A:$A,$A31)</f>
        <v>6</v>
      </c>
      <c r="AA31" s="13">
        <f>COUNTIFS('Card Data'!$K:$K,AA$2,'Card Data'!$A:$A,$A31)</f>
        <v>23</v>
      </c>
    </row>
    <row r="32" spans="1:27">
      <c r="A32" s="187" t="s">
        <v>6114</v>
      </c>
      <c r="B32" s="4" t="s">
        <v>6144</v>
      </c>
      <c r="C32" s="6" t="s">
        <v>174</v>
      </c>
      <c r="E32" s="4" t="s">
        <v>6145</v>
      </c>
      <c r="G32" s="13">
        <f>SUMIF('Card Data'!$A:$A,$A32,'Card Data'!$E:$E)</f>
        <v>22</v>
      </c>
      <c r="H32" s="13">
        <f>SUMIFS('Card Data'!$E:$E,'Card Data'!$A:$A,$A32,'Card Data'!$K:$K,"&lt;&gt;",'Card Data'!$J:$J,"&lt;&gt;Investigator")-SUMIFS('Card Data'!$E:$E,'Card Data'!$A:$A,$A32,'Card Data'!$K:$K,"&lt;&gt;",'Card Data'!$J:$J,"Mini")</f>
        <v>22</v>
      </c>
      <c r="I32" s="13">
        <f>SUMIFS('Card Data'!$E:$E,'Card Data'!$A:$A,$A32,'Card Data'!$K:$K,"",'Card Data'!$J:$J,"&lt;&gt;Campaign")+SUMIFS('Card Data'!$E:$E,'Card Data'!$A:$A,$A32,'Card Data'!$K:$K,"Mythos")-J32</f>
        <v>0</v>
      </c>
      <c r="J32" s="13">
        <f>SUMIFS('Card Data'!$E:$E,'Card Data'!$J:$J,J$2,'Card Data'!$A:$A,$A32,'Card Data'!$AD:$AD,"&lt;&gt;*Side Quest.*")</f>
        <v>0</v>
      </c>
      <c r="K32" s="13">
        <f>COUNTIFS('Card Data'!$J:$J,K$2,'Card Data'!$A:$A,$A32,'Card Data'!$AD:$AD,"&lt;&gt;*Side Quest.*")</f>
        <v>0</v>
      </c>
      <c r="L32" s="13">
        <f>COUNTIFS('Card Data'!$J:$J,L$2,'Card Data'!$A:$A,$A32,'Card Data'!$AD:$AD,"&lt;&gt;*Side Quest.*")</f>
        <v>0</v>
      </c>
      <c r="M32" s="15"/>
      <c r="N32" s="13">
        <f>COUNTIFS('Card Data'!$J:$J,N$2,'Card Data'!$A:$A,$A32)</f>
        <v>0</v>
      </c>
      <c r="O32" s="13">
        <f>COUNTIFS('Card Data'!$J:$J,O$2,'Card Data'!$A:$A,$A32)</f>
        <v>8</v>
      </c>
      <c r="P32" s="13">
        <f>COUNTIFS('Card Data'!$J:$J,P$2,'Card Data'!$A:$A,$A32)</f>
        <v>3</v>
      </c>
      <c r="Q32" s="13">
        <f>COUNTIFS('Card Data'!$J:$J,Q$2,'Card Data'!$A:$A,$A32)</f>
        <v>0</v>
      </c>
      <c r="R32" s="13">
        <f>COUNTIFS('Card Data'!$J:$J,R$2,'Card Data'!$A:$A,$A32)</f>
        <v>0</v>
      </c>
      <c r="S32" s="13">
        <f>COUNTIFS('Card Data'!$J:$J,S$2,'Card Data'!$A:$A,$A32)</f>
        <v>0</v>
      </c>
      <c r="T32" s="13">
        <f>COUNTIFS('Card Data'!$J:$J,T$2,'Card Data'!$A:$A,$A32)</f>
        <v>0</v>
      </c>
      <c r="U32" s="15"/>
      <c r="V32" s="13">
        <f>COUNTIFS('Card Data'!$K:$K,V$2,'Card Data'!$A:$A,$A32)</f>
        <v>1</v>
      </c>
      <c r="W32" s="13">
        <f>COUNTIFS('Card Data'!$K:$K,W$2,'Card Data'!$A:$A,$A32)</f>
        <v>1</v>
      </c>
      <c r="X32" s="13">
        <f>COUNTIFS('Card Data'!$K:$K,X$2,'Card Data'!$A:$A,$A32)</f>
        <v>1</v>
      </c>
      <c r="Y32" s="13">
        <f>COUNTIFS('Card Data'!$K:$K,Y$2,'Card Data'!$A:$A,$A32)</f>
        <v>2</v>
      </c>
      <c r="Z32" s="13">
        <f>COUNTIFS('Card Data'!$K:$K,Z$2,'Card Data'!$A:$A,$A32)</f>
        <v>1</v>
      </c>
      <c r="AA32" s="13">
        <f>COUNTIFS('Card Data'!$K:$K,AA$2,'Card Data'!$A:$A,$A32)</f>
        <v>0</v>
      </c>
    </row>
  </sheetData>
  <mergeCells count="3">
    <mergeCell ref="G1:J1"/>
    <mergeCell ref="N1:T1"/>
    <mergeCell ref="V1:AA1"/>
  </mergeCells>
  <conditionalFormatting sqref="V2">
    <cfRule type="cellIs" dxfId="2154" priority="29" operator="equal">
      <formula>"Fellowship"</formula>
    </cfRule>
    <cfRule type="cellIs" dxfId="2153" priority="30" operator="equal">
      <formula>"Neutral"</formula>
    </cfRule>
    <cfRule type="cellIs" dxfId="2152" priority="31" operator="equal">
      <formula>"Baggins"</formula>
    </cfRule>
    <cfRule type="cellIs" dxfId="2151" priority="32" operator="equal">
      <formula>"Lore"</formula>
    </cfRule>
    <cfRule type="cellIs" dxfId="2150" priority="33" operator="equal">
      <formula>"Spirit"</formula>
    </cfRule>
    <cfRule type="cellIs" dxfId="2149" priority="34" operator="equal">
      <formula>"Tactics"</formula>
    </cfRule>
    <cfRule type="cellIs" dxfId="2148" priority="35" operator="equal">
      <formula>"Leadership"</formula>
    </cfRule>
  </conditionalFormatting>
  <conditionalFormatting sqref="W2">
    <cfRule type="cellIs" dxfId="2147" priority="22" operator="equal">
      <formula>"Fellowship"</formula>
    </cfRule>
    <cfRule type="cellIs" dxfId="2146" priority="23" operator="equal">
      <formula>"Neutral"</formula>
    </cfRule>
    <cfRule type="cellIs" dxfId="2145" priority="24" operator="equal">
      <formula>"Baggins"</formula>
    </cfRule>
    <cfRule type="cellIs" dxfId="2144" priority="25" operator="equal">
      <formula>"Lore"</formula>
    </cfRule>
    <cfRule type="cellIs" dxfId="2143" priority="26" operator="equal">
      <formula>"Spirit"</formula>
    </cfRule>
    <cfRule type="cellIs" dxfId="2142" priority="27" operator="equal">
      <formula>"Tactics"</formula>
    </cfRule>
    <cfRule type="cellIs" dxfId="2141" priority="28" operator="equal">
      <formula>"Leadership"</formula>
    </cfRule>
  </conditionalFormatting>
  <conditionalFormatting sqref="X2">
    <cfRule type="cellIs" dxfId="2140" priority="15" operator="equal">
      <formula>"Fellowship"</formula>
    </cfRule>
    <cfRule type="cellIs" dxfId="2139" priority="16" operator="equal">
      <formula>"Neutral"</formula>
    </cfRule>
    <cfRule type="cellIs" dxfId="2138" priority="17" operator="equal">
      <formula>"Baggins"</formula>
    </cfRule>
    <cfRule type="cellIs" dxfId="2137" priority="18" operator="equal">
      <formula>"Lore"</formula>
    </cfRule>
    <cfRule type="cellIs" dxfId="2136" priority="19" operator="equal">
      <formula>"Spirit"</formula>
    </cfRule>
    <cfRule type="cellIs" dxfId="2135" priority="20" operator="equal">
      <formula>"Tactics"</formula>
    </cfRule>
    <cfRule type="cellIs" dxfId="2134" priority="21" operator="equal">
      <formula>"Leadership"</formula>
    </cfRule>
  </conditionalFormatting>
  <conditionalFormatting sqref="Y2:Z2">
    <cfRule type="cellIs" dxfId="2133" priority="8" operator="equal">
      <formula>"Fellowship"</formula>
    </cfRule>
    <cfRule type="cellIs" dxfId="2132" priority="9" operator="equal">
      <formula>"Neutral"</formula>
    </cfRule>
    <cfRule type="cellIs" dxfId="2131" priority="10" operator="equal">
      <formula>"Baggins"</formula>
    </cfRule>
    <cfRule type="cellIs" dxfId="2130" priority="11" operator="equal">
      <formula>"Lore"</formula>
    </cfRule>
    <cfRule type="cellIs" dxfId="2129" priority="12" operator="equal">
      <formula>"Spirit"</formula>
    </cfRule>
    <cfRule type="cellIs" dxfId="2128" priority="13" operator="equal">
      <formula>"Tactics"</formula>
    </cfRule>
    <cfRule type="cellIs" dxfId="2127" priority="14" operator="equal">
      <formula>"Leadership"</formula>
    </cfRule>
  </conditionalFormatting>
  <conditionalFormatting sqref="AA2">
    <cfRule type="cellIs" dxfId="2126" priority="1" operator="equal">
      <formula>"Fellowship"</formula>
    </cfRule>
    <cfRule type="cellIs" dxfId="2125" priority="2" operator="equal">
      <formula>"Neutral"</formula>
    </cfRule>
    <cfRule type="cellIs" dxfId="2124" priority="3" operator="equal">
      <formula>"Baggins"</formula>
    </cfRule>
    <cfRule type="cellIs" dxfId="2123" priority="4" operator="equal">
      <formula>"Lore"</formula>
    </cfRule>
    <cfRule type="cellIs" dxfId="2122" priority="5" operator="equal">
      <formula>"Spirit"</formula>
    </cfRule>
    <cfRule type="cellIs" dxfId="2121" priority="6" operator="equal">
      <formula>"Tactics"</formula>
    </cfRule>
    <cfRule type="cellIs" dxfId="2120"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638"/>
  <sheetViews>
    <sheetView zoomScale="85" zoomScaleNormal="85" workbookViewId="0">
      <pane xSplit="7" ySplit="1" topLeftCell="H1606" activePane="bottomRight" state="frozen"/>
      <selection activeCell="E1" sqref="E1"/>
      <selection pane="topRight" activeCell="F1" sqref="F1"/>
      <selection pane="bottomLeft" activeCell="E2" sqref="E2"/>
      <selection pane="bottomRight" activeCell="A1638" sqref="A1628:XFD1638"/>
    </sheetView>
  </sheetViews>
  <sheetFormatPr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row r="1293" spans="1:59" s="171" customFormat="1" ht="15" customHeight="1">
      <c r="A1293" s="168" t="s">
        <v>4951</v>
      </c>
      <c r="B1293" s="154" t="s">
        <v>4954</v>
      </c>
      <c r="C1293" s="154" t="s">
        <v>4955</v>
      </c>
      <c r="D1293" s="170">
        <v>265</v>
      </c>
      <c r="E1293" s="171">
        <v>2</v>
      </c>
      <c r="F1293" s="154"/>
      <c r="G1293" s="171" t="s">
        <v>4956</v>
      </c>
      <c r="J1293" s="171" t="s">
        <v>257</v>
      </c>
      <c r="K1293" s="171" t="s">
        <v>198</v>
      </c>
      <c r="L1293" s="171">
        <v>0</v>
      </c>
      <c r="N1293" s="170">
        <v>2</v>
      </c>
      <c r="O1293" s="156"/>
      <c r="P1293" s="157"/>
      <c r="Q1293" s="158"/>
      <c r="R1293" s="159">
        <v>1</v>
      </c>
      <c r="S1293" s="160"/>
      <c r="T1293" s="161"/>
      <c r="U1293" s="156"/>
      <c r="V1293" s="162"/>
      <c r="W1293" s="163"/>
      <c r="X1293" s="164"/>
      <c r="Y1293" s="159"/>
      <c r="Z1293" s="161"/>
      <c r="AA1293" s="165"/>
      <c r="AB1293" s="171" t="s">
        <v>207</v>
      </c>
      <c r="AD1293" s="171" t="s">
        <v>4957</v>
      </c>
      <c r="AE1293" s="170"/>
      <c r="AF1293" s="171" t="s">
        <v>4958</v>
      </c>
      <c r="AQ1293" s="156"/>
      <c r="AR1293" s="157"/>
      <c r="AS1293" s="158"/>
      <c r="AT1293" s="159"/>
      <c r="AU1293" s="161"/>
      <c r="AV1293" s="156"/>
      <c r="AW1293" s="162"/>
      <c r="AX1293" s="163"/>
      <c r="AY1293" s="164"/>
      <c r="AZ1293" s="159"/>
      <c r="BA1293" s="161"/>
      <c r="BB1293" s="165"/>
      <c r="BF1293" s="170"/>
    </row>
    <row r="1294" spans="1:59" s="154" customFormat="1" ht="15" customHeight="1">
      <c r="A1294" s="168" t="s">
        <v>4951</v>
      </c>
      <c r="B1294" s="154" t="s">
        <v>4959</v>
      </c>
      <c r="C1294" s="154" t="s">
        <v>4955</v>
      </c>
      <c r="D1294" s="170">
        <v>266</v>
      </c>
      <c r="E1294" s="154">
        <v>2</v>
      </c>
      <c r="G1294" s="154" t="s">
        <v>4960</v>
      </c>
      <c r="J1294" s="171" t="s">
        <v>27</v>
      </c>
      <c r="K1294" s="154" t="s">
        <v>198</v>
      </c>
      <c r="L1294" s="154">
        <v>3</v>
      </c>
      <c r="N1294" s="155">
        <v>1</v>
      </c>
      <c r="O1294" s="156">
        <v>1</v>
      </c>
      <c r="P1294" s="157"/>
      <c r="Q1294" s="158">
        <v>1</v>
      </c>
      <c r="R1294" s="159"/>
      <c r="S1294" s="160"/>
      <c r="T1294" s="161"/>
      <c r="U1294" s="156"/>
      <c r="V1294" s="162"/>
      <c r="W1294" s="163"/>
      <c r="X1294" s="164"/>
      <c r="Y1294" s="159"/>
      <c r="Z1294" s="161"/>
      <c r="AA1294" s="165"/>
      <c r="AB1294" s="154" t="s">
        <v>1083</v>
      </c>
      <c r="AD1294" s="154" t="s">
        <v>674</v>
      </c>
      <c r="AE1294" s="155"/>
      <c r="AF1294" s="154" t="s">
        <v>4961</v>
      </c>
      <c r="AL1294" s="171"/>
      <c r="AO1294" s="155"/>
      <c r="AP1294" s="155"/>
      <c r="AQ1294" s="156"/>
      <c r="AR1294" s="157"/>
      <c r="AS1294" s="158"/>
      <c r="AT1294" s="159"/>
      <c r="AU1294" s="161"/>
      <c r="AV1294" s="156"/>
      <c r="AW1294" s="162"/>
      <c r="AX1294" s="163"/>
      <c r="AY1294" s="164"/>
      <c r="AZ1294" s="159"/>
      <c r="BA1294" s="161"/>
      <c r="BB1294" s="165"/>
      <c r="BE1294" s="155"/>
    </row>
    <row r="1295" spans="1:59" s="154" customFormat="1" ht="15" customHeight="1">
      <c r="A1295" s="168" t="s">
        <v>4951</v>
      </c>
      <c r="B1295" s="153" t="s">
        <v>4962</v>
      </c>
      <c r="C1295" s="154" t="s">
        <v>4955</v>
      </c>
      <c r="D1295" s="170">
        <v>267</v>
      </c>
      <c r="E1295" s="154">
        <v>2</v>
      </c>
      <c r="G1295" s="154" t="s">
        <v>4963</v>
      </c>
      <c r="J1295" s="171" t="s">
        <v>257</v>
      </c>
      <c r="K1295" s="154" t="s">
        <v>199</v>
      </c>
      <c r="L1295" s="154">
        <v>3</v>
      </c>
      <c r="N1295" s="155">
        <v>2</v>
      </c>
      <c r="O1295" s="156"/>
      <c r="P1295" s="157">
        <v>1</v>
      </c>
      <c r="Q1295" s="158"/>
      <c r="R1295" s="159"/>
      <c r="S1295" s="160"/>
      <c r="T1295" s="161"/>
      <c r="U1295" s="156"/>
      <c r="V1295" s="162"/>
      <c r="W1295" s="163"/>
      <c r="X1295" s="164"/>
      <c r="Y1295" s="159"/>
      <c r="Z1295" s="161"/>
      <c r="AA1295" s="165"/>
      <c r="AB1295" s="154" t="s">
        <v>205</v>
      </c>
      <c r="AC1295" s="154" t="s">
        <v>378</v>
      </c>
      <c r="AD1295" s="154" t="s">
        <v>279</v>
      </c>
      <c r="AE1295" s="155"/>
      <c r="AF1295" s="154" t="s">
        <v>4964</v>
      </c>
      <c r="AL1295" s="171"/>
      <c r="AO1295" s="155"/>
      <c r="AP1295" s="155"/>
      <c r="AQ1295" s="156"/>
      <c r="AR1295" s="157"/>
      <c r="AS1295" s="158"/>
      <c r="AT1295" s="159"/>
      <c r="AU1295" s="161"/>
      <c r="AV1295" s="156"/>
      <c r="AW1295" s="162"/>
      <c r="AX1295" s="163"/>
      <c r="AY1295" s="164"/>
      <c r="AZ1295" s="159"/>
      <c r="BA1295" s="161"/>
      <c r="BB1295" s="165"/>
      <c r="BE1295" s="155"/>
    </row>
    <row r="1296" spans="1:59" s="154" customFormat="1" ht="15" customHeight="1">
      <c r="A1296" s="168" t="s">
        <v>4951</v>
      </c>
      <c r="B1296" s="153" t="s">
        <v>4965</v>
      </c>
      <c r="C1296" s="154" t="s">
        <v>4955</v>
      </c>
      <c r="D1296" s="170">
        <v>268</v>
      </c>
      <c r="E1296" s="154">
        <v>2</v>
      </c>
      <c r="G1296" s="154" t="s">
        <v>4966</v>
      </c>
      <c r="J1296" s="171" t="s">
        <v>257</v>
      </c>
      <c r="K1296" s="154" t="s">
        <v>201</v>
      </c>
      <c r="L1296" s="154">
        <v>0</v>
      </c>
      <c r="N1296" s="155">
        <v>2</v>
      </c>
      <c r="O1296" s="156"/>
      <c r="P1296" s="157"/>
      <c r="Q1296" s="158"/>
      <c r="R1296" s="159">
        <v>1</v>
      </c>
      <c r="S1296" s="160"/>
      <c r="T1296" s="161"/>
      <c r="U1296" s="156"/>
      <c r="V1296" s="162"/>
      <c r="W1296" s="163"/>
      <c r="X1296" s="164"/>
      <c r="Y1296" s="159"/>
      <c r="Z1296" s="161"/>
      <c r="AA1296" s="165"/>
      <c r="AB1296" s="154" t="s">
        <v>207</v>
      </c>
      <c r="AC1296" s="154" t="s">
        <v>258</v>
      </c>
      <c r="AD1296" s="154" t="s">
        <v>923</v>
      </c>
      <c r="AE1296" s="155"/>
      <c r="AF1296" s="154" t="s">
        <v>4967</v>
      </c>
      <c r="AL1296" s="171"/>
      <c r="AO1296" s="155"/>
      <c r="AP1296" s="155"/>
      <c r="AQ1296" s="156"/>
      <c r="AR1296" s="157"/>
      <c r="AS1296" s="158"/>
      <c r="AT1296" s="159"/>
      <c r="AU1296" s="161"/>
      <c r="AV1296" s="156"/>
      <c r="AW1296" s="162"/>
      <c r="AX1296" s="163"/>
      <c r="AY1296" s="164"/>
      <c r="AZ1296" s="159"/>
      <c r="BA1296" s="161"/>
      <c r="BB1296" s="165"/>
      <c r="BE1296" s="155"/>
    </row>
    <row r="1297" spans="1:59" s="154" customFormat="1" ht="15" customHeight="1">
      <c r="A1297" s="168" t="s">
        <v>4951</v>
      </c>
      <c r="B1297" s="153" t="s">
        <v>4968</v>
      </c>
      <c r="C1297" s="154" t="s">
        <v>4955</v>
      </c>
      <c r="D1297" s="170">
        <v>269</v>
      </c>
      <c r="E1297" s="154">
        <v>2</v>
      </c>
      <c r="G1297" s="154" t="s">
        <v>4969</v>
      </c>
      <c r="J1297" s="154" t="s">
        <v>27</v>
      </c>
      <c r="K1297" s="154" t="s">
        <v>201</v>
      </c>
      <c r="L1297" s="154">
        <v>0</v>
      </c>
      <c r="N1297" s="154">
        <v>2</v>
      </c>
      <c r="O1297" s="156"/>
      <c r="P1297" s="157"/>
      <c r="Q1297" s="158">
        <v>2</v>
      </c>
      <c r="R1297" s="159"/>
      <c r="S1297" s="160"/>
      <c r="T1297" s="161"/>
      <c r="U1297" s="156"/>
      <c r="V1297" s="162"/>
      <c r="W1297" s="163"/>
      <c r="X1297" s="164"/>
      <c r="Y1297" s="159"/>
      <c r="Z1297" s="161"/>
      <c r="AA1297" s="165"/>
      <c r="AB1297" s="154" t="s">
        <v>1088</v>
      </c>
      <c r="AD1297" s="154" t="s">
        <v>4970</v>
      </c>
      <c r="AF1297" s="154" t="s">
        <v>4971</v>
      </c>
      <c r="AO1297" s="155"/>
      <c r="AQ1297" s="156"/>
      <c r="AR1297" s="157"/>
      <c r="AS1297" s="158"/>
      <c r="AT1297" s="159"/>
      <c r="AU1297" s="161"/>
      <c r="AV1297" s="156"/>
      <c r="AW1297" s="162"/>
      <c r="AX1297" s="163"/>
      <c r="AY1297" s="164"/>
      <c r="AZ1297" s="159"/>
      <c r="BA1297" s="161"/>
      <c r="BB1297" s="165"/>
      <c r="BE1297" s="155"/>
    </row>
    <row r="1298" spans="1:59" s="154" customFormat="1" ht="15" customHeight="1">
      <c r="A1298" s="168" t="s">
        <v>4951</v>
      </c>
      <c r="B1298" s="169" t="s">
        <v>4972</v>
      </c>
      <c r="C1298" s="154" t="s">
        <v>4955</v>
      </c>
      <c r="D1298" s="170">
        <v>270</v>
      </c>
      <c r="E1298" s="154">
        <v>2</v>
      </c>
      <c r="G1298" s="154" t="s">
        <v>4973</v>
      </c>
      <c r="I1298" s="154" t="s">
        <v>223</v>
      </c>
      <c r="J1298" s="154" t="s">
        <v>257</v>
      </c>
      <c r="K1298" s="154" t="s">
        <v>201</v>
      </c>
      <c r="L1298" s="154">
        <v>2</v>
      </c>
      <c r="N1298" s="154">
        <v>3</v>
      </c>
      <c r="O1298" s="156"/>
      <c r="P1298" s="157">
        <v>2</v>
      </c>
      <c r="Q1298" s="158"/>
      <c r="R1298" s="159"/>
      <c r="S1298" s="160"/>
      <c r="T1298" s="161"/>
      <c r="U1298" s="156"/>
      <c r="V1298" s="162"/>
      <c r="W1298" s="163"/>
      <c r="X1298" s="164"/>
      <c r="Y1298" s="159"/>
      <c r="Z1298" s="161"/>
      <c r="AA1298" s="165"/>
      <c r="AB1298" s="154" t="s">
        <v>1084</v>
      </c>
      <c r="AD1298" s="154" t="s">
        <v>3892</v>
      </c>
      <c r="AF1298" s="154" t="s">
        <v>4974</v>
      </c>
      <c r="AO1298" s="155"/>
      <c r="AQ1298" s="156"/>
      <c r="AR1298" s="157"/>
      <c r="AS1298" s="158"/>
      <c r="AT1298" s="159"/>
      <c r="AU1298" s="161"/>
      <c r="AV1298" s="156"/>
      <c r="AW1298" s="162"/>
      <c r="AX1298" s="163"/>
      <c r="AY1298" s="164"/>
      <c r="AZ1298" s="159"/>
      <c r="BA1298" s="161"/>
      <c r="BB1298" s="165"/>
      <c r="BE1298" s="155"/>
    </row>
    <row r="1299" spans="1:59" s="154" customFormat="1" ht="15" customHeight="1">
      <c r="A1299" s="168" t="s">
        <v>4951</v>
      </c>
      <c r="B1299" s="153" t="s">
        <v>4975</v>
      </c>
      <c r="C1299" s="154" t="s">
        <v>4955</v>
      </c>
      <c r="D1299" s="170">
        <v>271</v>
      </c>
      <c r="E1299" s="154">
        <v>2</v>
      </c>
      <c r="G1299" s="154" t="s">
        <v>3900</v>
      </c>
      <c r="J1299" s="154" t="s">
        <v>257</v>
      </c>
      <c r="K1299" s="154" t="s">
        <v>200</v>
      </c>
      <c r="L1299" s="154">
        <v>4</v>
      </c>
      <c r="N1299" s="154">
        <v>2</v>
      </c>
      <c r="O1299" s="156">
        <v>1</v>
      </c>
      <c r="P1299" s="157"/>
      <c r="Q1299" s="158"/>
      <c r="R1299" s="159">
        <v>1</v>
      </c>
      <c r="S1299" s="160"/>
      <c r="T1299" s="161"/>
      <c r="U1299" s="156"/>
      <c r="V1299" s="162"/>
      <c r="W1299" s="163"/>
      <c r="X1299" s="164"/>
      <c r="Y1299" s="159"/>
      <c r="Z1299" s="161"/>
      <c r="AA1299" s="165"/>
      <c r="AB1299" s="154" t="s">
        <v>1085</v>
      </c>
      <c r="AC1299" s="154" t="s">
        <v>378</v>
      </c>
      <c r="AD1299" s="154" t="s">
        <v>279</v>
      </c>
      <c r="AF1299" s="154" t="s">
        <v>4976</v>
      </c>
      <c r="AO1299" s="155"/>
      <c r="AQ1299" s="156"/>
      <c r="AR1299" s="157"/>
      <c r="AS1299" s="158"/>
      <c r="AT1299" s="159"/>
      <c r="AU1299" s="161"/>
      <c r="AV1299" s="156"/>
      <c r="AW1299" s="162"/>
      <c r="AX1299" s="163"/>
      <c r="AY1299" s="164"/>
      <c r="AZ1299" s="159"/>
      <c r="BA1299" s="161"/>
      <c r="BB1299" s="165"/>
      <c r="BE1299" s="155"/>
    </row>
    <row r="1300" spans="1:59" s="154" customFormat="1" ht="15" customHeight="1">
      <c r="A1300" s="168" t="s">
        <v>4951</v>
      </c>
      <c r="B1300" s="153" t="s">
        <v>4977</v>
      </c>
      <c r="C1300" s="154" t="s">
        <v>4955</v>
      </c>
      <c r="D1300" s="170">
        <v>272</v>
      </c>
      <c r="E1300" s="154">
        <v>2</v>
      </c>
      <c r="G1300" s="154" t="s">
        <v>4978</v>
      </c>
      <c r="J1300" s="154" t="s">
        <v>27</v>
      </c>
      <c r="K1300" s="154" t="s">
        <v>202</v>
      </c>
      <c r="L1300" s="154">
        <v>0</v>
      </c>
      <c r="N1300" s="154">
        <v>1</v>
      </c>
      <c r="O1300" s="156"/>
      <c r="P1300" s="157"/>
      <c r="Q1300" s="158"/>
      <c r="R1300" s="159"/>
      <c r="S1300" s="160"/>
      <c r="T1300" s="161"/>
      <c r="U1300" s="156"/>
      <c r="V1300" s="162"/>
      <c r="W1300" s="163"/>
      <c r="X1300" s="164"/>
      <c r="Y1300" s="159"/>
      <c r="Z1300" s="161"/>
      <c r="AA1300" s="165"/>
      <c r="AD1300" s="154" t="s">
        <v>3912</v>
      </c>
      <c r="AF1300" s="154" t="s">
        <v>4979</v>
      </c>
      <c r="AO1300" s="155"/>
      <c r="AQ1300" s="156"/>
      <c r="AR1300" s="157"/>
      <c r="AS1300" s="158"/>
      <c r="AT1300" s="159"/>
      <c r="AU1300" s="161"/>
      <c r="AV1300" s="156"/>
      <c r="AW1300" s="162"/>
      <c r="AX1300" s="163"/>
      <c r="AY1300" s="164"/>
      <c r="AZ1300" s="159"/>
      <c r="BA1300" s="161"/>
      <c r="BB1300" s="165"/>
      <c r="BE1300" s="155"/>
    </row>
    <row r="1301" spans="1:59" s="154" customFormat="1" ht="15" customHeight="1">
      <c r="A1301" s="168" t="s">
        <v>4951</v>
      </c>
      <c r="B1301" s="153" t="s">
        <v>4980</v>
      </c>
      <c r="C1301" s="154" t="s">
        <v>4955</v>
      </c>
      <c r="D1301" s="170">
        <v>273</v>
      </c>
      <c r="E1301" s="154">
        <v>2</v>
      </c>
      <c r="G1301" s="154" t="s">
        <v>4981</v>
      </c>
      <c r="J1301" s="154" t="s">
        <v>257</v>
      </c>
      <c r="K1301" s="154" t="s">
        <v>202</v>
      </c>
      <c r="L1301" s="154">
        <v>3</v>
      </c>
      <c r="N1301" s="172">
        <v>3</v>
      </c>
      <c r="O1301" s="156"/>
      <c r="P1301" s="157"/>
      <c r="Q1301" s="158">
        <v>1</v>
      </c>
      <c r="R1301" s="159">
        <v>1</v>
      </c>
      <c r="S1301" s="160"/>
      <c r="T1301" s="161"/>
      <c r="U1301" s="156"/>
      <c r="V1301" s="162"/>
      <c r="W1301" s="163"/>
      <c r="X1301" s="164"/>
      <c r="Y1301" s="159"/>
      <c r="Z1301" s="161"/>
      <c r="AA1301" s="165"/>
      <c r="AB1301" s="154" t="s">
        <v>1087</v>
      </c>
      <c r="AC1301" s="154" t="s">
        <v>322</v>
      </c>
      <c r="AD1301" s="154" t="s">
        <v>259</v>
      </c>
      <c r="AF1301" s="154" t="s">
        <v>4982</v>
      </c>
      <c r="AO1301" s="155"/>
      <c r="AQ1301" s="156"/>
      <c r="AR1301" s="157"/>
      <c r="AS1301" s="158"/>
      <c r="AT1301" s="159"/>
      <c r="AU1301" s="161"/>
      <c r="AV1301" s="156"/>
      <c r="AW1301" s="162"/>
      <c r="AX1301" s="163"/>
      <c r="AY1301" s="164"/>
      <c r="AZ1301" s="159"/>
      <c r="BA1301" s="161"/>
      <c r="BB1301" s="165"/>
      <c r="BE1301" s="155"/>
    </row>
    <row r="1302" spans="1:59" s="154" customFormat="1" ht="15" customHeight="1">
      <c r="A1302" s="168" t="s">
        <v>4951</v>
      </c>
      <c r="B1302" s="153" t="s">
        <v>4983</v>
      </c>
      <c r="C1302" s="154" t="s">
        <v>4955</v>
      </c>
      <c r="D1302" s="170">
        <v>274</v>
      </c>
      <c r="E1302" s="154">
        <v>2</v>
      </c>
      <c r="G1302" s="154" t="s">
        <v>4984</v>
      </c>
      <c r="J1302" s="154" t="s">
        <v>257</v>
      </c>
      <c r="K1302" s="154" t="s">
        <v>26</v>
      </c>
      <c r="L1302" s="154">
        <v>0</v>
      </c>
      <c r="N1302" s="154">
        <v>4</v>
      </c>
      <c r="O1302" s="156">
        <v>1</v>
      </c>
      <c r="P1302" s="157"/>
      <c r="Q1302" s="158"/>
      <c r="R1302" s="159"/>
      <c r="S1302" s="160"/>
      <c r="T1302" s="161"/>
      <c r="U1302" s="156"/>
      <c r="V1302" s="162"/>
      <c r="W1302" s="163"/>
      <c r="X1302" s="164"/>
      <c r="Y1302" s="159"/>
      <c r="Z1302" s="161"/>
      <c r="AA1302" s="165"/>
      <c r="AB1302" s="154" t="s">
        <v>204</v>
      </c>
      <c r="AD1302" s="154" t="s">
        <v>265</v>
      </c>
      <c r="AF1302" s="154" t="s">
        <v>4985</v>
      </c>
      <c r="AO1302" s="155"/>
      <c r="AQ1302" s="156"/>
      <c r="AR1302" s="157"/>
      <c r="AS1302" s="158"/>
      <c r="AT1302" s="159"/>
      <c r="AU1302" s="161"/>
      <c r="AV1302" s="156"/>
      <c r="AW1302" s="162"/>
      <c r="AX1302" s="163"/>
      <c r="AY1302" s="164"/>
      <c r="AZ1302" s="159"/>
      <c r="BA1302" s="161"/>
      <c r="BB1302" s="165"/>
      <c r="BE1302" s="155"/>
    </row>
    <row r="1303" spans="1:59" s="154" customFormat="1" ht="15" customHeight="1">
      <c r="A1303" s="168" t="s">
        <v>4951</v>
      </c>
      <c r="B1303" s="153" t="s">
        <v>4986</v>
      </c>
      <c r="C1303" s="154" t="s">
        <v>4955</v>
      </c>
      <c r="D1303" s="170">
        <v>275</v>
      </c>
      <c r="E1303" s="154">
        <v>2</v>
      </c>
      <c r="G1303" s="154" t="s">
        <v>4987</v>
      </c>
      <c r="J1303" s="154" t="s">
        <v>257</v>
      </c>
      <c r="K1303" s="154" t="s">
        <v>26</v>
      </c>
      <c r="L1303" s="154">
        <v>3</v>
      </c>
      <c r="N1303" s="154">
        <v>2</v>
      </c>
      <c r="O1303" s="156">
        <v>1</v>
      </c>
      <c r="P1303" s="157">
        <v>1</v>
      </c>
      <c r="Q1303" s="158"/>
      <c r="R1303" s="159"/>
      <c r="S1303" s="160"/>
      <c r="T1303" s="161"/>
      <c r="U1303" s="156"/>
      <c r="V1303" s="162"/>
      <c r="W1303" s="163"/>
      <c r="X1303" s="164"/>
      <c r="Y1303" s="159"/>
      <c r="Z1303" s="161"/>
      <c r="AA1303" s="165"/>
      <c r="AB1303" s="154" t="s">
        <v>1092</v>
      </c>
      <c r="AD1303" s="154" t="s">
        <v>276</v>
      </c>
      <c r="AF1303" s="154" t="s">
        <v>4988</v>
      </c>
      <c r="AO1303" s="155"/>
      <c r="AQ1303" s="156"/>
      <c r="AR1303" s="157"/>
      <c r="AS1303" s="158"/>
      <c r="AT1303" s="159"/>
      <c r="AU1303" s="161"/>
      <c r="AV1303" s="156"/>
      <c r="AW1303" s="162"/>
      <c r="AX1303" s="163"/>
      <c r="AY1303" s="164"/>
      <c r="AZ1303" s="159"/>
      <c r="BA1303" s="161"/>
      <c r="BB1303" s="165"/>
      <c r="BE1303" s="155"/>
    </row>
    <row r="1304" spans="1:59" s="154" customFormat="1" ht="15" customHeight="1">
      <c r="A1304" s="168" t="s">
        <v>4951</v>
      </c>
      <c r="B1304" s="153" t="s">
        <v>4989</v>
      </c>
      <c r="C1304" s="154" t="s">
        <v>4955</v>
      </c>
      <c r="D1304" s="170">
        <v>276</v>
      </c>
      <c r="E1304" s="154">
        <v>2</v>
      </c>
      <c r="G1304" s="154" t="s">
        <v>4990</v>
      </c>
      <c r="J1304" s="154" t="s">
        <v>257</v>
      </c>
      <c r="K1304" s="154" t="s">
        <v>26</v>
      </c>
      <c r="L1304" s="154">
        <v>5</v>
      </c>
      <c r="N1304" s="154">
        <v>5</v>
      </c>
      <c r="O1304" s="156">
        <v>1</v>
      </c>
      <c r="P1304" s="157"/>
      <c r="Q1304" s="158">
        <v>1</v>
      </c>
      <c r="R1304" s="159"/>
      <c r="S1304" s="160"/>
      <c r="T1304" s="161"/>
      <c r="U1304" s="156"/>
      <c r="V1304" s="162"/>
      <c r="W1304" s="163"/>
      <c r="X1304" s="164"/>
      <c r="Y1304" s="159"/>
      <c r="Z1304" s="161"/>
      <c r="AA1304" s="165"/>
      <c r="AB1304" s="154" t="s">
        <v>1083</v>
      </c>
      <c r="AC1304" s="154" t="s">
        <v>258</v>
      </c>
      <c r="AD1304" s="154" t="s">
        <v>2615</v>
      </c>
      <c r="AF1304" s="154" t="s">
        <v>4991</v>
      </c>
      <c r="AO1304" s="155"/>
      <c r="AQ1304" s="156"/>
      <c r="AR1304" s="157"/>
      <c r="AS1304" s="158"/>
      <c r="AT1304" s="159"/>
      <c r="AU1304" s="161"/>
      <c r="AV1304" s="156"/>
      <c r="AW1304" s="162"/>
      <c r="AX1304" s="163"/>
      <c r="AY1304" s="164"/>
      <c r="AZ1304" s="159"/>
      <c r="BA1304" s="161"/>
      <c r="BB1304" s="165"/>
      <c r="BE1304" s="155"/>
    </row>
    <row r="1305" spans="1:59" s="154" customFormat="1" ht="15" customHeight="1">
      <c r="A1305" s="168" t="s">
        <v>4951</v>
      </c>
      <c r="B1305" s="153" t="s">
        <v>4992</v>
      </c>
      <c r="C1305" s="154" t="s">
        <v>4955</v>
      </c>
      <c r="D1305" s="170">
        <v>277</v>
      </c>
      <c r="E1305" s="154">
        <v>1</v>
      </c>
      <c r="F1305" s="154" t="s">
        <v>4952</v>
      </c>
      <c r="G1305" s="154" t="s">
        <v>4952</v>
      </c>
      <c r="J1305" s="154" t="s">
        <v>618</v>
      </c>
      <c r="K1305" s="154" t="s">
        <v>2426</v>
      </c>
      <c r="O1305" s="156"/>
      <c r="P1305" s="157"/>
      <c r="Q1305" s="158"/>
      <c r="R1305" s="159"/>
      <c r="S1305" s="160"/>
      <c r="T1305" s="161"/>
      <c r="U1305" s="156"/>
      <c r="V1305" s="162"/>
      <c r="W1305" s="163"/>
      <c r="X1305" s="164"/>
      <c r="Y1305" s="159"/>
      <c r="Z1305" s="161"/>
      <c r="AA1305" s="165"/>
      <c r="AF1305" s="154" t="s">
        <v>4993</v>
      </c>
      <c r="AI1305" s="154" t="s">
        <v>4952</v>
      </c>
      <c r="AL1305" s="154" t="s">
        <v>618</v>
      </c>
      <c r="AM1305" s="154" t="s">
        <v>2426</v>
      </c>
      <c r="AO1305" s="155"/>
      <c r="AQ1305" s="156"/>
      <c r="AR1305" s="157"/>
      <c r="AS1305" s="158"/>
      <c r="AT1305" s="159"/>
      <c r="AU1305" s="161"/>
      <c r="AV1305" s="156"/>
      <c r="AW1305" s="162"/>
      <c r="AX1305" s="163"/>
      <c r="AY1305" s="164"/>
      <c r="AZ1305" s="159"/>
      <c r="BA1305" s="161"/>
      <c r="BB1305" s="165"/>
      <c r="BE1305" s="155"/>
      <c r="BG1305" s="154" t="s">
        <v>4994</v>
      </c>
    </row>
    <row r="1306" spans="1:59" s="154" customFormat="1" ht="15" customHeight="1">
      <c r="A1306" s="168" t="s">
        <v>4951</v>
      </c>
      <c r="B1306" s="153" t="s">
        <v>4995</v>
      </c>
      <c r="C1306" s="154" t="s">
        <v>4955</v>
      </c>
      <c r="D1306" s="170">
        <v>278</v>
      </c>
      <c r="E1306" s="154">
        <v>1</v>
      </c>
      <c r="F1306" s="154" t="s">
        <v>4952</v>
      </c>
      <c r="G1306" s="154" t="s">
        <v>4996</v>
      </c>
      <c r="J1306" s="154" t="s">
        <v>619</v>
      </c>
      <c r="K1306" s="154" t="s">
        <v>2426</v>
      </c>
      <c r="L1306" s="154">
        <v>1</v>
      </c>
      <c r="O1306" s="156"/>
      <c r="P1306" s="157"/>
      <c r="Q1306" s="158"/>
      <c r="R1306" s="159"/>
      <c r="S1306" s="160"/>
      <c r="T1306" s="161"/>
      <c r="U1306" s="156"/>
      <c r="V1306" s="162"/>
      <c r="W1306" s="163"/>
      <c r="X1306" s="164"/>
      <c r="Y1306" s="159"/>
      <c r="Z1306" s="161">
        <v>3</v>
      </c>
      <c r="AA1306" s="165"/>
      <c r="AI1306" s="154" t="s">
        <v>4997</v>
      </c>
      <c r="AL1306" s="154" t="s">
        <v>619</v>
      </c>
      <c r="AM1306" s="154" t="s">
        <v>2426</v>
      </c>
      <c r="AN1306" s="154">
        <v>1</v>
      </c>
      <c r="AO1306" s="155"/>
      <c r="AQ1306" s="156"/>
      <c r="AR1306" s="157"/>
      <c r="AS1306" s="158"/>
      <c r="AT1306" s="159"/>
      <c r="AU1306" s="161"/>
      <c r="AV1306" s="156"/>
      <c r="AW1306" s="162"/>
      <c r="AX1306" s="163"/>
      <c r="AY1306" s="164"/>
      <c r="AZ1306" s="159"/>
      <c r="BA1306" s="161"/>
      <c r="BB1306" s="165"/>
      <c r="BE1306" s="155"/>
      <c r="BG1306" s="154" t="s">
        <v>4998</v>
      </c>
    </row>
    <row r="1307" spans="1:59" s="154" customFormat="1" ht="15" customHeight="1">
      <c r="A1307" s="168" t="s">
        <v>4951</v>
      </c>
      <c r="B1307" s="153" t="s">
        <v>4999</v>
      </c>
      <c r="C1307" s="154" t="s">
        <v>4955</v>
      </c>
      <c r="D1307" s="170">
        <v>279</v>
      </c>
      <c r="E1307" s="154">
        <v>1</v>
      </c>
      <c r="F1307" s="154" t="s">
        <v>4952</v>
      </c>
      <c r="G1307" s="154" t="s">
        <v>5000</v>
      </c>
      <c r="J1307" s="154" t="s">
        <v>619</v>
      </c>
      <c r="K1307" s="154" t="s">
        <v>2426</v>
      </c>
      <c r="L1307" s="154">
        <v>2</v>
      </c>
      <c r="O1307" s="156"/>
      <c r="P1307" s="157"/>
      <c r="Q1307" s="158"/>
      <c r="R1307" s="159"/>
      <c r="S1307" s="160"/>
      <c r="T1307" s="161"/>
      <c r="U1307" s="156"/>
      <c r="V1307" s="162"/>
      <c r="W1307" s="163"/>
      <c r="X1307" s="164"/>
      <c r="Y1307" s="159"/>
      <c r="Z1307" s="161">
        <v>3</v>
      </c>
      <c r="AA1307" s="165"/>
      <c r="AI1307" s="154" t="s">
        <v>5001</v>
      </c>
      <c r="AL1307" s="154" t="s">
        <v>619</v>
      </c>
      <c r="AM1307" s="154" t="s">
        <v>2426</v>
      </c>
      <c r="AN1307" s="154">
        <v>2</v>
      </c>
      <c r="AO1307" s="155"/>
      <c r="AQ1307" s="156"/>
      <c r="AR1307" s="157"/>
      <c r="AS1307" s="158"/>
      <c r="AT1307" s="159"/>
      <c r="AU1307" s="161"/>
      <c r="AV1307" s="156"/>
      <c r="AW1307" s="162"/>
      <c r="AX1307" s="163"/>
      <c r="AY1307" s="164"/>
      <c r="AZ1307" s="159"/>
      <c r="BA1307" s="161"/>
      <c r="BB1307" s="165"/>
      <c r="BG1307" s="154" t="s">
        <v>5002</v>
      </c>
    </row>
    <row r="1308" spans="1:59" s="154" customFormat="1" ht="15" customHeight="1">
      <c r="A1308" s="168" t="s">
        <v>4951</v>
      </c>
      <c r="B1308" s="153" t="s">
        <v>5003</v>
      </c>
      <c r="C1308" s="154" t="s">
        <v>4955</v>
      </c>
      <c r="D1308" s="170">
        <v>280</v>
      </c>
      <c r="E1308" s="154">
        <v>1</v>
      </c>
      <c r="F1308" s="154" t="s">
        <v>4952</v>
      </c>
      <c r="G1308" s="154" t="s">
        <v>5004</v>
      </c>
      <c r="J1308" s="154" t="s">
        <v>619</v>
      </c>
      <c r="K1308" s="171" t="s">
        <v>2426</v>
      </c>
      <c r="L1308" s="154">
        <v>3</v>
      </c>
      <c r="O1308" s="156"/>
      <c r="P1308" s="157"/>
      <c r="Q1308" s="158"/>
      <c r="R1308" s="159"/>
      <c r="S1308" s="160"/>
      <c r="T1308" s="161"/>
      <c r="U1308" s="156"/>
      <c r="V1308" s="162"/>
      <c r="W1308" s="163"/>
      <c r="X1308" s="164"/>
      <c r="Y1308" s="159"/>
      <c r="Z1308" s="161">
        <v>4</v>
      </c>
      <c r="AA1308" s="165"/>
      <c r="AI1308" s="154" t="s">
        <v>5005</v>
      </c>
      <c r="AL1308" s="154" t="s">
        <v>619</v>
      </c>
      <c r="AM1308" s="171" t="s">
        <v>2426</v>
      </c>
      <c r="AN1308" s="154">
        <v>3</v>
      </c>
      <c r="AO1308" s="155"/>
      <c r="AQ1308" s="156"/>
      <c r="AR1308" s="157"/>
      <c r="AS1308" s="158"/>
      <c r="AT1308" s="159"/>
      <c r="AU1308" s="161"/>
      <c r="AV1308" s="156"/>
      <c r="AW1308" s="162"/>
      <c r="AX1308" s="163"/>
      <c r="AY1308" s="164"/>
      <c r="AZ1308" s="159"/>
      <c r="BA1308" s="161"/>
      <c r="BB1308" s="165"/>
      <c r="BG1308" s="154" t="s">
        <v>5006</v>
      </c>
    </row>
    <row r="1309" spans="1:59" s="154" customFormat="1" ht="15" customHeight="1">
      <c r="A1309" s="168" t="s">
        <v>4951</v>
      </c>
      <c r="B1309" s="153" t="s">
        <v>5007</v>
      </c>
      <c r="C1309" s="154" t="s">
        <v>4955</v>
      </c>
      <c r="D1309" s="170">
        <v>281</v>
      </c>
      <c r="E1309" s="154">
        <v>1</v>
      </c>
      <c r="F1309" s="154" t="s">
        <v>4952</v>
      </c>
      <c r="G1309" s="154" t="s">
        <v>5008</v>
      </c>
      <c r="J1309" s="154" t="s">
        <v>619</v>
      </c>
      <c r="K1309" s="171" t="s">
        <v>2426</v>
      </c>
      <c r="L1309" s="154">
        <v>4</v>
      </c>
      <c r="O1309" s="156"/>
      <c r="P1309" s="157"/>
      <c r="Q1309" s="158"/>
      <c r="R1309" s="159"/>
      <c r="S1309" s="160"/>
      <c r="T1309" s="161"/>
      <c r="U1309" s="156"/>
      <c r="V1309" s="162"/>
      <c r="W1309" s="163"/>
      <c r="X1309" s="164"/>
      <c r="Y1309" s="159"/>
      <c r="Z1309" s="161">
        <v>4</v>
      </c>
      <c r="AA1309" s="165"/>
      <c r="AI1309" s="154" t="s">
        <v>5009</v>
      </c>
      <c r="AL1309" s="154" t="s">
        <v>619</v>
      </c>
      <c r="AM1309" s="154" t="s">
        <v>2426</v>
      </c>
      <c r="AN1309" s="154">
        <v>4</v>
      </c>
      <c r="AO1309" s="155"/>
      <c r="AQ1309" s="156"/>
      <c r="AR1309" s="157"/>
      <c r="AS1309" s="158"/>
      <c r="AT1309" s="159"/>
      <c r="AU1309" s="161"/>
      <c r="AV1309" s="156"/>
      <c r="AW1309" s="162"/>
      <c r="AX1309" s="163"/>
      <c r="AY1309" s="164"/>
      <c r="AZ1309" s="159"/>
      <c r="BA1309" s="161"/>
      <c r="BB1309" s="165"/>
      <c r="BE1309" s="155"/>
      <c r="BG1309" s="154" t="s">
        <v>5010</v>
      </c>
    </row>
    <row r="1310" spans="1:59" s="154" customFormat="1" ht="15" customHeight="1">
      <c r="A1310" s="168" t="s">
        <v>4951</v>
      </c>
      <c r="B1310" s="153" t="s">
        <v>5011</v>
      </c>
      <c r="C1310" s="154" t="s">
        <v>4955</v>
      </c>
      <c r="D1310" s="170">
        <v>282</v>
      </c>
      <c r="E1310" s="154">
        <v>1</v>
      </c>
      <c r="F1310" s="154" t="s">
        <v>4952</v>
      </c>
      <c r="G1310" s="154" t="s">
        <v>5012</v>
      </c>
      <c r="J1310" s="154" t="s">
        <v>619</v>
      </c>
      <c r="K1310" s="171" t="s">
        <v>2426</v>
      </c>
      <c r="L1310" s="154">
        <v>5</v>
      </c>
      <c r="O1310" s="156"/>
      <c r="P1310" s="157"/>
      <c r="Q1310" s="158"/>
      <c r="R1310" s="159"/>
      <c r="S1310" s="160"/>
      <c r="T1310" s="161"/>
      <c r="U1310" s="156"/>
      <c r="V1310" s="162"/>
      <c r="W1310" s="163"/>
      <c r="X1310" s="164"/>
      <c r="Y1310" s="159"/>
      <c r="Z1310" s="161">
        <v>5</v>
      </c>
      <c r="AA1310" s="165"/>
      <c r="AF1310" s="154" t="s">
        <v>5013</v>
      </c>
      <c r="AI1310" s="154" t="s">
        <v>5014</v>
      </c>
      <c r="AL1310" s="154" t="s">
        <v>619</v>
      </c>
      <c r="AM1310" s="154" t="s">
        <v>2426</v>
      </c>
      <c r="AN1310" s="154">
        <v>5</v>
      </c>
      <c r="AO1310" s="155"/>
      <c r="AQ1310" s="156"/>
      <c r="AR1310" s="157"/>
      <c r="AS1310" s="158"/>
      <c r="AT1310" s="159"/>
      <c r="AU1310" s="161"/>
      <c r="AV1310" s="156"/>
      <c r="AW1310" s="162"/>
      <c r="AX1310" s="163"/>
      <c r="AY1310" s="164"/>
      <c r="AZ1310" s="159"/>
      <c r="BA1310" s="161"/>
      <c r="BB1310" s="165"/>
      <c r="BE1310" s="155"/>
      <c r="BG1310" s="154" t="s">
        <v>5015</v>
      </c>
    </row>
    <row r="1311" spans="1:59" s="154" customFormat="1" ht="15" customHeight="1">
      <c r="A1311" s="168" t="s">
        <v>4951</v>
      </c>
      <c r="B1311" s="153" t="s">
        <v>5016</v>
      </c>
      <c r="C1311" s="154" t="s">
        <v>4955</v>
      </c>
      <c r="D1311" s="170">
        <v>283</v>
      </c>
      <c r="E1311" s="154">
        <v>1</v>
      </c>
      <c r="F1311" s="154" t="s">
        <v>4952</v>
      </c>
      <c r="G1311" s="154" t="s">
        <v>5017</v>
      </c>
      <c r="J1311" s="154" t="s">
        <v>619</v>
      </c>
      <c r="K1311" s="154" t="s">
        <v>2426</v>
      </c>
      <c r="L1311" s="154">
        <v>6</v>
      </c>
      <c r="O1311" s="156"/>
      <c r="P1311" s="157"/>
      <c r="Q1311" s="158"/>
      <c r="R1311" s="159"/>
      <c r="S1311" s="160"/>
      <c r="T1311" s="161"/>
      <c r="U1311" s="156"/>
      <c r="V1311" s="162"/>
      <c r="W1311" s="163"/>
      <c r="X1311" s="164"/>
      <c r="Y1311" s="159"/>
      <c r="Z1311" s="161">
        <v>5</v>
      </c>
      <c r="AA1311" s="165"/>
      <c r="AF1311" s="154" t="s">
        <v>5018</v>
      </c>
      <c r="AI1311" s="154" t="s">
        <v>5019</v>
      </c>
      <c r="AL1311" s="154" t="s">
        <v>619</v>
      </c>
      <c r="AM1311" s="154" t="s">
        <v>2426</v>
      </c>
      <c r="AN1311" s="154">
        <v>6</v>
      </c>
      <c r="AO1311" s="155"/>
      <c r="AQ1311" s="156"/>
      <c r="AR1311" s="157"/>
      <c r="AS1311" s="158"/>
      <c r="AT1311" s="159"/>
      <c r="AU1311" s="161"/>
      <c r="AV1311" s="156"/>
      <c r="AW1311" s="162"/>
      <c r="AX1311" s="163"/>
      <c r="AY1311" s="164"/>
      <c r="AZ1311" s="159"/>
      <c r="BA1311" s="161"/>
      <c r="BB1311" s="165"/>
      <c r="BE1311" s="155"/>
      <c r="BG1311" s="154" t="s">
        <v>5020</v>
      </c>
    </row>
    <row r="1312" spans="1:59" s="154" customFormat="1" ht="15" customHeight="1">
      <c r="A1312" s="168" t="s">
        <v>4951</v>
      </c>
      <c r="B1312" s="153" t="s">
        <v>5021</v>
      </c>
      <c r="C1312" s="154" t="s">
        <v>4955</v>
      </c>
      <c r="D1312" s="170">
        <v>284</v>
      </c>
      <c r="E1312" s="154">
        <v>1</v>
      </c>
      <c r="F1312" s="154" t="s">
        <v>4952</v>
      </c>
      <c r="G1312" s="154" t="s">
        <v>5022</v>
      </c>
      <c r="J1312" s="154" t="s">
        <v>619</v>
      </c>
      <c r="K1312" s="154" t="s">
        <v>2426</v>
      </c>
      <c r="L1312" s="154">
        <v>7</v>
      </c>
      <c r="O1312" s="156"/>
      <c r="P1312" s="157"/>
      <c r="Q1312" s="158"/>
      <c r="R1312" s="159"/>
      <c r="S1312" s="160"/>
      <c r="T1312" s="161"/>
      <c r="U1312" s="156"/>
      <c r="V1312" s="162"/>
      <c r="W1312" s="163"/>
      <c r="X1312" s="164"/>
      <c r="Y1312" s="159"/>
      <c r="Z1312" s="161"/>
      <c r="AA1312" s="165"/>
      <c r="AF1312" s="154" t="s">
        <v>5023</v>
      </c>
      <c r="AI1312" s="154" t="s">
        <v>5024</v>
      </c>
      <c r="AL1312" s="154" t="s">
        <v>619</v>
      </c>
      <c r="AM1312" s="154" t="s">
        <v>2426</v>
      </c>
      <c r="AN1312" s="154">
        <v>7</v>
      </c>
      <c r="AP1312" s="155"/>
      <c r="AQ1312" s="156"/>
      <c r="AR1312" s="157"/>
      <c r="AS1312" s="158"/>
      <c r="AT1312" s="159"/>
      <c r="AU1312" s="161"/>
      <c r="AV1312" s="156"/>
      <c r="AW1312" s="162"/>
      <c r="AX1312" s="163"/>
      <c r="AY1312" s="164"/>
      <c r="AZ1312" s="159"/>
      <c r="BA1312" s="161"/>
      <c r="BB1312" s="165"/>
      <c r="BF1312" s="155"/>
      <c r="BG1312" s="154" t="s">
        <v>4555</v>
      </c>
    </row>
    <row r="1313" spans="1:59" s="154" customFormat="1" ht="15" customHeight="1">
      <c r="A1313" s="168" t="s">
        <v>4951</v>
      </c>
      <c r="B1313" s="153" t="s">
        <v>5025</v>
      </c>
      <c r="C1313" s="154" t="s">
        <v>4955</v>
      </c>
      <c r="D1313" s="170">
        <v>285</v>
      </c>
      <c r="E1313" s="154">
        <v>1</v>
      </c>
      <c r="F1313" s="154" t="s">
        <v>4952</v>
      </c>
      <c r="G1313" s="154" t="s">
        <v>5026</v>
      </c>
      <c r="J1313" s="154" t="s">
        <v>621</v>
      </c>
      <c r="K1313" s="154" t="s">
        <v>2426</v>
      </c>
      <c r="L1313" s="154">
        <v>1</v>
      </c>
      <c r="N1313" s="155"/>
      <c r="O1313" s="156"/>
      <c r="P1313" s="157"/>
      <c r="Q1313" s="158"/>
      <c r="R1313" s="159"/>
      <c r="S1313" s="160"/>
      <c r="T1313" s="161"/>
      <c r="U1313" s="156"/>
      <c r="V1313" s="162"/>
      <c r="W1313" s="163"/>
      <c r="X1313" s="164"/>
      <c r="Y1313" s="159" t="s">
        <v>1112</v>
      </c>
      <c r="Z1313" s="161"/>
      <c r="AA1313" s="165"/>
      <c r="AE1313" s="155"/>
      <c r="AF1313" s="154" t="s">
        <v>5027</v>
      </c>
      <c r="AI1313" s="154" t="s">
        <v>5028</v>
      </c>
      <c r="AL1313" s="154" t="s">
        <v>621</v>
      </c>
      <c r="AM1313" s="154" t="s">
        <v>2426</v>
      </c>
      <c r="AN1313" s="154">
        <v>1</v>
      </c>
      <c r="AP1313" s="155"/>
      <c r="AQ1313" s="156"/>
      <c r="AR1313" s="157"/>
      <c r="AS1313" s="158"/>
      <c r="AT1313" s="159"/>
      <c r="AU1313" s="161"/>
      <c r="AV1313" s="156"/>
      <c r="AW1313" s="162"/>
      <c r="AX1313" s="163"/>
      <c r="AY1313" s="164"/>
      <c r="AZ1313" s="159"/>
      <c r="BA1313" s="161"/>
      <c r="BB1313" s="165"/>
      <c r="BF1313" s="155"/>
      <c r="BG1313" s="154" t="s">
        <v>5029</v>
      </c>
    </row>
    <row r="1314" spans="1:59" s="154" customFormat="1" ht="15" customHeight="1">
      <c r="A1314" s="168" t="s">
        <v>4951</v>
      </c>
      <c r="B1314" s="153" t="s">
        <v>5030</v>
      </c>
      <c r="C1314" s="154" t="s">
        <v>4955</v>
      </c>
      <c r="D1314" s="170">
        <v>286</v>
      </c>
      <c r="E1314" s="154">
        <v>1</v>
      </c>
      <c r="F1314" s="154" t="s">
        <v>4952</v>
      </c>
      <c r="G1314" s="154" t="s">
        <v>5031</v>
      </c>
      <c r="J1314" s="154" t="s">
        <v>31</v>
      </c>
      <c r="K1314" s="154" t="s">
        <v>2426</v>
      </c>
      <c r="N1314" s="155"/>
      <c r="O1314" s="156"/>
      <c r="P1314" s="157"/>
      <c r="Q1314" s="158"/>
      <c r="R1314" s="159"/>
      <c r="S1314" s="160"/>
      <c r="T1314" s="161"/>
      <c r="U1314" s="156"/>
      <c r="V1314" s="162"/>
      <c r="W1314" s="163"/>
      <c r="X1314" s="164">
        <v>3</v>
      </c>
      <c r="Y1314" s="159">
        <v>0</v>
      </c>
      <c r="Z1314" s="161"/>
      <c r="AA1314" s="165"/>
      <c r="AD1314" s="154" t="s">
        <v>5032</v>
      </c>
      <c r="AE1314" s="155"/>
      <c r="AF1314" s="154" t="s">
        <v>5033</v>
      </c>
      <c r="AP1314" s="155"/>
      <c r="AQ1314" s="156"/>
      <c r="AR1314" s="157"/>
      <c r="AS1314" s="158"/>
      <c r="AT1314" s="159"/>
      <c r="AU1314" s="161"/>
      <c r="AV1314" s="156"/>
      <c r="AW1314" s="162"/>
      <c r="AX1314" s="163"/>
      <c r="AY1314" s="164"/>
      <c r="AZ1314" s="159"/>
      <c r="BA1314" s="161"/>
      <c r="BB1314" s="165"/>
      <c r="BF1314" s="155"/>
    </row>
    <row r="1315" spans="1:59" s="154" customFormat="1" ht="15" customHeight="1">
      <c r="A1315" s="168" t="s">
        <v>4951</v>
      </c>
      <c r="B1315" s="153" t="s">
        <v>5034</v>
      </c>
      <c r="C1315" s="154" t="s">
        <v>4955</v>
      </c>
      <c r="D1315" s="170">
        <v>287</v>
      </c>
      <c r="E1315" s="154">
        <v>1</v>
      </c>
      <c r="F1315" s="154" t="s">
        <v>4952</v>
      </c>
      <c r="G1315" s="154" t="s">
        <v>5035</v>
      </c>
      <c r="J1315" s="154" t="s">
        <v>31</v>
      </c>
      <c r="K1315" s="154" t="s">
        <v>2426</v>
      </c>
      <c r="N1315" s="155"/>
      <c r="O1315" s="156"/>
      <c r="P1315" s="157"/>
      <c r="Q1315" s="158"/>
      <c r="R1315" s="159"/>
      <c r="S1315" s="160"/>
      <c r="T1315" s="161"/>
      <c r="U1315" s="156"/>
      <c r="V1315" s="162"/>
      <c r="W1315" s="163"/>
      <c r="X1315" s="164">
        <v>3</v>
      </c>
      <c r="Y1315" s="159" t="s">
        <v>1073</v>
      </c>
      <c r="Z1315" s="161"/>
      <c r="AA1315" s="165"/>
      <c r="AD1315" s="154" t="s">
        <v>5036</v>
      </c>
      <c r="AE1315" s="155"/>
      <c r="AF1315" s="154" t="s">
        <v>5037</v>
      </c>
      <c r="AP1315" s="155"/>
      <c r="AQ1315" s="156"/>
      <c r="AR1315" s="157"/>
      <c r="AS1315" s="158"/>
      <c r="AT1315" s="159"/>
      <c r="AU1315" s="161"/>
      <c r="AV1315" s="156"/>
      <c r="AW1315" s="162"/>
      <c r="AX1315" s="163"/>
      <c r="AY1315" s="164"/>
      <c r="AZ1315" s="159"/>
      <c r="BA1315" s="161"/>
      <c r="BB1315" s="165"/>
      <c r="BF1315" s="155"/>
    </row>
    <row r="1316" spans="1:59" s="154" customFormat="1" ht="15" customHeight="1">
      <c r="A1316" s="168" t="s">
        <v>4951</v>
      </c>
      <c r="B1316" s="169" t="s">
        <v>5038</v>
      </c>
      <c r="C1316" s="154" t="s">
        <v>4955</v>
      </c>
      <c r="D1316" s="170">
        <v>288</v>
      </c>
      <c r="E1316" s="154">
        <v>1</v>
      </c>
      <c r="F1316" s="154" t="s">
        <v>4952</v>
      </c>
      <c r="G1316" s="154" t="s">
        <v>5039</v>
      </c>
      <c r="J1316" s="154" t="s">
        <v>31</v>
      </c>
      <c r="K1316" s="154" t="s">
        <v>2426</v>
      </c>
      <c r="N1316" s="155"/>
      <c r="O1316" s="156"/>
      <c r="P1316" s="157"/>
      <c r="Q1316" s="158"/>
      <c r="R1316" s="159"/>
      <c r="S1316" s="160"/>
      <c r="T1316" s="161"/>
      <c r="U1316" s="156"/>
      <c r="V1316" s="162"/>
      <c r="W1316" s="163"/>
      <c r="X1316" s="164">
        <v>4</v>
      </c>
      <c r="Y1316" s="159" t="s">
        <v>1073</v>
      </c>
      <c r="Z1316" s="161"/>
      <c r="AA1316" s="165"/>
      <c r="AD1316" s="154" t="s">
        <v>5036</v>
      </c>
      <c r="AE1316" s="155"/>
      <c r="AF1316" s="154" t="s">
        <v>5040</v>
      </c>
      <c r="AP1316" s="155"/>
      <c r="AQ1316" s="156"/>
      <c r="AR1316" s="157"/>
      <c r="AS1316" s="158"/>
      <c r="AT1316" s="159"/>
      <c r="AU1316" s="161"/>
      <c r="AV1316" s="156"/>
      <c r="AW1316" s="162"/>
      <c r="AX1316" s="163"/>
      <c r="AY1316" s="164"/>
      <c r="AZ1316" s="159"/>
      <c r="BA1316" s="161"/>
      <c r="BB1316" s="165"/>
      <c r="BF1316" s="155"/>
    </row>
    <row r="1317" spans="1:59" s="154" customFormat="1" ht="15" customHeight="1">
      <c r="A1317" s="168" t="s">
        <v>4951</v>
      </c>
      <c r="B1317" s="153" t="s">
        <v>5041</v>
      </c>
      <c r="C1317" s="154" t="s">
        <v>4955</v>
      </c>
      <c r="D1317" s="170">
        <v>289</v>
      </c>
      <c r="E1317" s="154">
        <v>1</v>
      </c>
      <c r="F1317" s="154" t="s">
        <v>4952</v>
      </c>
      <c r="G1317" s="154" t="s">
        <v>5042</v>
      </c>
      <c r="J1317" s="154" t="s">
        <v>31</v>
      </c>
      <c r="K1317" s="154" t="s">
        <v>2426</v>
      </c>
      <c r="N1317" s="155"/>
      <c r="O1317" s="156"/>
      <c r="P1317" s="157"/>
      <c r="Q1317" s="158"/>
      <c r="R1317" s="159"/>
      <c r="S1317" s="160"/>
      <c r="T1317" s="161"/>
      <c r="U1317" s="156"/>
      <c r="V1317" s="162"/>
      <c r="W1317" s="163"/>
      <c r="X1317" s="164">
        <v>4</v>
      </c>
      <c r="Y1317" s="159">
        <v>0</v>
      </c>
      <c r="Z1317" s="161"/>
      <c r="AA1317" s="165"/>
      <c r="AD1317" s="154" t="s">
        <v>5036</v>
      </c>
      <c r="AE1317" s="155"/>
      <c r="AF1317" s="154" t="s">
        <v>5043</v>
      </c>
      <c r="AP1317" s="155"/>
      <c r="AQ1317" s="156"/>
      <c r="AR1317" s="157"/>
      <c r="AS1317" s="158"/>
      <c r="AT1317" s="159"/>
      <c r="AU1317" s="161"/>
      <c r="AV1317" s="156"/>
      <c r="AW1317" s="162"/>
      <c r="AX1317" s="163"/>
      <c r="AY1317" s="164"/>
      <c r="AZ1317" s="159"/>
      <c r="BA1317" s="161"/>
      <c r="BB1317" s="165"/>
      <c r="BF1317" s="155"/>
    </row>
    <row r="1318" spans="1:59" s="154" customFormat="1" ht="15" customHeight="1">
      <c r="A1318" s="168" t="s">
        <v>4951</v>
      </c>
      <c r="B1318" s="153" t="s">
        <v>5044</v>
      </c>
      <c r="C1318" s="154" t="s">
        <v>4955</v>
      </c>
      <c r="D1318" s="170">
        <v>290</v>
      </c>
      <c r="E1318" s="154">
        <v>1</v>
      </c>
      <c r="F1318" s="154" t="s">
        <v>4952</v>
      </c>
      <c r="G1318" s="154" t="s">
        <v>5045</v>
      </c>
      <c r="J1318" s="154" t="s">
        <v>31</v>
      </c>
      <c r="K1318" s="154" t="s">
        <v>2426</v>
      </c>
      <c r="N1318" s="155"/>
      <c r="O1318" s="156"/>
      <c r="P1318" s="157"/>
      <c r="Q1318" s="158"/>
      <c r="R1318" s="159"/>
      <c r="S1318" s="160"/>
      <c r="T1318" s="161"/>
      <c r="U1318" s="156"/>
      <c r="V1318" s="162"/>
      <c r="W1318" s="163"/>
      <c r="X1318" s="164">
        <v>1</v>
      </c>
      <c r="Y1318" s="159" t="s">
        <v>1073</v>
      </c>
      <c r="Z1318" s="161"/>
      <c r="AA1318" s="165"/>
      <c r="AD1318" s="154" t="s">
        <v>5036</v>
      </c>
      <c r="AE1318" s="155"/>
      <c r="AF1318" s="154" t="s">
        <v>5046</v>
      </c>
      <c r="AI1318" s="153"/>
      <c r="AP1318" s="155"/>
      <c r="AQ1318" s="156"/>
      <c r="AR1318" s="157"/>
      <c r="AS1318" s="158"/>
      <c r="AT1318" s="159"/>
      <c r="AU1318" s="161"/>
      <c r="AV1318" s="156"/>
      <c r="AW1318" s="162"/>
      <c r="AX1318" s="163"/>
      <c r="AY1318" s="164"/>
      <c r="AZ1318" s="159"/>
      <c r="BA1318" s="161"/>
      <c r="BB1318" s="165"/>
      <c r="BF1318" s="155"/>
    </row>
    <row r="1319" spans="1:59" s="154" customFormat="1" ht="15" customHeight="1">
      <c r="A1319" s="168" t="s">
        <v>4951</v>
      </c>
      <c r="B1319" s="153" t="s">
        <v>5047</v>
      </c>
      <c r="C1319" s="154" t="s">
        <v>4955</v>
      </c>
      <c r="D1319" s="170">
        <v>291</v>
      </c>
      <c r="E1319" s="154">
        <v>1</v>
      </c>
      <c r="F1319" s="154" t="s">
        <v>4952</v>
      </c>
      <c r="G1319" s="154" t="s">
        <v>5048</v>
      </c>
      <c r="J1319" s="154" t="s">
        <v>31</v>
      </c>
      <c r="K1319" s="154" t="s">
        <v>2426</v>
      </c>
      <c r="N1319" s="155"/>
      <c r="O1319" s="156"/>
      <c r="P1319" s="157"/>
      <c r="Q1319" s="158"/>
      <c r="R1319" s="159"/>
      <c r="S1319" s="160"/>
      <c r="T1319" s="161"/>
      <c r="U1319" s="156"/>
      <c r="V1319" s="162"/>
      <c r="W1319" s="163"/>
      <c r="X1319" s="164">
        <v>2</v>
      </c>
      <c r="Y1319" s="159" t="s">
        <v>1111</v>
      </c>
      <c r="Z1319" s="161"/>
      <c r="AA1319" s="165"/>
      <c r="AD1319" s="154" t="s">
        <v>5036</v>
      </c>
      <c r="AE1319" s="155"/>
      <c r="AF1319" s="154" t="s">
        <v>5049</v>
      </c>
      <c r="AP1319" s="155"/>
      <c r="AQ1319" s="156"/>
      <c r="AR1319" s="157"/>
      <c r="AS1319" s="158"/>
      <c r="AT1319" s="159"/>
      <c r="AU1319" s="161"/>
      <c r="AV1319" s="156"/>
      <c r="AW1319" s="162"/>
      <c r="AX1319" s="163"/>
      <c r="AY1319" s="164"/>
      <c r="AZ1319" s="159"/>
      <c r="BA1319" s="161"/>
      <c r="BB1319" s="165"/>
      <c r="BF1319" s="155"/>
    </row>
    <row r="1320" spans="1:59" s="154" customFormat="1" ht="15" customHeight="1">
      <c r="A1320" s="168" t="s">
        <v>4951</v>
      </c>
      <c r="B1320" s="153" t="s">
        <v>5050</v>
      </c>
      <c r="C1320" s="154" t="s">
        <v>4955</v>
      </c>
      <c r="D1320" s="170">
        <v>292</v>
      </c>
      <c r="E1320" s="154">
        <v>1</v>
      </c>
      <c r="F1320" s="154" t="s">
        <v>4952</v>
      </c>
      <c r="G1320" s="154" t="s">
        <v>5051</v>
      </c>
      <c r="J1320" s="154" t="s">
        <v>31</v>
      </c>
      <c r="K1320" s="154" t="s">
        <v>2426</v>
      </c>
      <c r="N1320" s="155"/>
      <c r="O1320" s="156"/>
      <c r="P1320" s="157"/>
      <c r="Q1320" s="158"/>
      <c r="R1320" s="159"/>
      <c r="S1320" s="160"/>
      <c r="T1320" s="161"/>
      <c r="U1320" s="156"/>
      <c r="V1320" s="162"/>
      <c r="W1320" s="163"/>
      <c r="X1320" s="164">
        <v>2</v>
      </c>
      <c r="Y1320" s="159" t="s">
        <v>1073</v>
      </c>
      <c r="Z1320" s="161"/>
      <c r="AA1320" s="165"/>
      <c r="AD1320" s="154" t="s">
        <v>5036</v>
      </c>
      <c r="AE1320" s="155"/>
      <c r="AF1320" s="154" t="s">
        <v>5052</v>
      </c>
      <c r="AP1320" s="155"/>
      <c r="AQ1320" s="156"/>
      <c r="AR1320" s="157"/>
      <c r="AS1320" s="158"/>
      <c r="AT1320" s="159"/>
      <c r="AU1320" s="161"/>
      <c r="AV1320" s="156"/>
      <c r="AW1320" s="162"/>
      <c r="AX1320" s="163"/>
      <c r="AY1320" s="164"/>
      <c r="AZ1320" s="159"/>
      <c r="BA1320" s="161"/>
      <c r="BB1320" s="165"/>
      <c r="BF1320" s="155"/>
    </row>
    <row r="1321" spans="1:59" s="154" customFormat="1" ht="15" customHeight="1">
      <c r="A1321" s="168" t="s">
        <v>4951</v>
      </c>
      <c r="B1321" s="153" t="s">
        <v>5053</v>
      </c>
      <c r="C1321" s="154" t="s">
        <v>4955</v>
      </c>
      <c r="D1321" s="170">
        <v>293</v>
      </c>
      <c r="E1321" s="154">
        <v>1</v>
      </c>
      <c r="F1321" s="154" t="s">
        <v>4952</v>
      </c>
      <c r="G1321" s="154" t="s">
        <v>5054</v>
      </c>
      <c r="J1321" s="154" t="s">
        <v>31</v>
      </c>
      <c r="K1321" s="154" t="s">
        <v>2426</v>
      </c>
      <c r="N1321" s="155"/>
      <c r="O1321" s="156"/>
      <c r="P1321" s="157"/>
      <c r="Q1321" s="158"/>
      <c r="R1321" s="159"/>
      <c r="S1321" s="160"/>
      <c r="T1321" s="161"/>
      <c r="U1321" s="156"/>
      <c r="V1321" s="162"/>
      <c r="W1321" s="163"/>
      <c r="X1321" s="164">
        <v>3</v>
      </c>
      <c r="Y1321" s="159">
        <v>0</v>
      </c>
      <c r="Z1321" s="161"/>
      <c r="AA1321" s="165"/>
      <c r="AD1321" s="154" t="s">
        <v>5036</v>
      </c>
      <c r="AE1321" s="155"/>
      <c r="AF1321" s="154" t="s">
        <v>5055</v>
      </c>
      <c r="AP1321" s="155"/>
      <c r="AQ1321" s="156"/>
      <c r="AR1321" s="157"/>
      <c r="AS1321" s="158"/>
      <c r="AT1321" s="159"/>
      <c r="AU1321" s="161"/>
      <c r="AV1321" s="156"/>
      <c r="AW1321" s="162"/>
      <c r="AX1321" s="163"/>
      <c r="AY1321" s="164"/>
      <c r="AZ1321" s="159"/>
      <c r="BA1321" s="161"/>
      <c r="BB1321" s="165"/>
      <c r="BF1321" s="155"/>
    </row>
    <row r="1322" spans="1:59" s="154" customFormat="1" ht="15" customHeight="1">
      <c r="A1322" s="168" t="s">
        <v>4951</v>
      </c>
      <c r="B1322" s="153" t="s">
        <v>5056</v>
      </c>
      <c r="C1322" s="154" t="s">
        <v>4955</v>
      </c>
      <c r="D1322" s="170">
        <v>294</v>
      </c>
      <c r="E1322" s="154">
        <v>1</v>
      </c>
      <c r="F1322" s="154" t="s">
        <v>4952</v>
      </c>
      <c r="G1322" s="154" t="s">
        <v>5057</v>
      </c>
      <c r="J1322" s="154" t="s">
        <v>31</v>
      </c>
      <c r="K1322" s="154" t="s">
        <v>2426</v>
      </c>
      <c r="N1322" s="155"/>
      <c r="O1322" s="156"/>
      <c r="P1322" s="157"/>
      <c r="Q1322" s="158"/>
      <c r="R1322" s="159"/>
      <c r="S1322" s="160"/>
      <c r="T1322" s="161"/>
      <c r="U1322" s="156"/>
      <c r="V1322" s="162"/>
      <c r="W1322" s="163"/>
      <c r="X1322" s="164">
        <v>-2</v>
      </c>
      <c r="Y1322" s="159" t="s">
        <v>1073</v>
      </c>
      <c r="Z1322" s="161"/>
      <c r="AA1322" s="165"/>
      <c r="AD1322" s="154" t="s">
        <v>5036</v>
      </c>
      <c r="AF1322" s="154" t="s">
        <v>5058</v>
      </c>
      <c r="AP1322" s="155"/>
      <c r="AQ1322" s="156"/>
      <c r="AR1322" s="157"/>
      <c r="AS1322" s="158"/>
      <c r="AT1322" s="159"/>
      <c r="AU1322" s="161"/>
      <c r="AV1322" s="156"/>
      <c r="AW1322" s="162"/>
      <c r="AX1322" s="163"/>
      <c r="AY1322" s="164"/>
      <c r="AZ1322" s="159"/>
      <c r="BA1322" s="161"/>
      <c r="BB1322" s="165"/>
      <c r="BF1322" s="155"/>
    </row>
    <row r="1323" spans="1:59" s="154" customFormat="1" ht="15" customHeight="1">
      <c r="A1323" s="168" t="s">
        <v>4951</v>
      </c>
      <c r="B1323" s="169" t="s">
        <v>5059</v>
      </c>
      <c r="C1323" s="154" t="s">
        <v>4955</v>
      </c>
      <c r="D1323" s="170">
        <v>295</v>
      </c>
      <c r="E1323" s="154">
        <v>1</v>
      </c>
      <c r="F1323" s="154" t="s">
        <v>4952</v>
      </c>
      <c r="G1323" s="154" t="s">
        <v>5060</v>
      </c>
      <c r="J1323" s="154" t="s">
        <v>31</v>
      </c>
      <c r="K1323" s="154" t="s">
        <v>2426</v>
      </c>
      <c r="N1323" s="155"/>
      <c r="O1323" s="156"/>
      <c r="P1323" s="157"/>
      <c r="Q1323" s="158"/>
      <c r="R1323" s="159"/>
      <c r="S1323" s="160"/>
      <c r="T1323" s="161"/>
      <c r="U1323" s="156"/>
      <c r="V1323" s="162"/>
      <c r="W1323" s="163"/>
      <c r="X1323" s="164">
        <v>2</v>
      </c>
      <c r="Y1323" s="159" t="s">
        <v>1111</v>
      </c>
      <c r="Z1323" s="161"/>
      <c r="AA1323" s="165"/>
      <c r="AD1323" s="154" t="s">
        <v>5036</v>
      </c>
      <c r="AE1323" s="155"/>
      <c r="AF1323" s="154" t="s">
        <v>5061</v>
      </c>
      <c r="AP1323" s="155"/>
      <c r="AQ1323" s="156"/>
      <c r="AR1323" s="157"/>
      <c r="AS1323" s="158"/>
      <c r="AT1323" s="159"/>
      <c r="AU1323" s="161"/>
      <c r="AV1323" s="156"/>
      <c r="AW1323" s="162"/>
      <c r="AX1323" s="163"/>
      <c r="AY1323" s="164"/>
      <c r="AZ1323" s="159"/>
      <c r="BA1323" s="161"/>
      <c r="BB1323" s="165"/>
      <c r="BF1323" s="155"/>
    </row>
    <row r="1324" spans="1:59" s="154" customFormat="1" ht="15" customHeight="1">
      <c r="A1324" s="168" t="s">
        <v>4951</v>
      </c>
      <c r="B1324" s="153" t="s">
        <v>5062</v>
      </c>
      <c r="C1324" s="154" t="s">
        <v>4955</v>
      </c>
      <c r="D1324" s="170">
        <v>296</v>
      </c>
      <c r="E1324" s="154">
        <v>1</v>
      </c>
      <c r="F1324" s="154" t="s">
        <v>4952</v>
      </c>
      <c r="G1324" s="154" t="s">
        <v>5063</v>
      </c>
      <c r="H1324" s="154" t="s">
        <v>5064</v>
      </c>
      <c r="I1324" s="154" t="s">
        <v>223</v>
      </c>
      <c r="J1324" s="154" t="s">
        <v>29</v>
      </c>
      <c r="K1324" s="154" t="s">
        <v>2426</v>
      </c>
      <c r="N1324" s="155"/>
      <c r="O1324" s="156"/>
      <c r="P1324" s="157"/>
      <c r="Q1324" s="158">
        <v>4</v>
      </c>
      <c r="R1324" s="159">
        <v>4</v>
      </c>
      <c r="S1324" s="160"/>
      <c r="T1324" s="161">
        <v>6</v>
      </c>
      <c r="U1324" s="156"/>
      <c r="V1324" s="162">
        <v>3</v>
      </c>
      <c r="W1324" s="163">
        <v>3</v>
      </c>
      <c r="X1324" s="164"/>
      <c r="Y1324" s="159"/>
      <c r="Z1324" s="161"/>
      <c r="AA1324" s="165">
        <v>5</v>
      </c>
      <c r="AD1324" s="154" t="s">
        <v>5065</v>
      </c>
      <c r="AE1324" s="155"/>
      <c r="AF1324" s="154" t="s">
        <v>5066</v>
      </c>
      <c r="AP1324" s="155"/>
      <c r="AQ1324" s="156"/>
      <c r="AR1324" s="157"/>
      <c r="AS1324" s="158"/>
      <c r="AT1324" s="159"/>
      <c r="AU1324" s="161"/>
      <c r="AV1324" s="156"/>
      <c r="AW1324" s="162"/>
      <c r="AX1324" s="163"/>
      <c r="AY1324" s="164"/>
      <c r="AZ1324" s="159"/>
      <c r="BA1324" s="161"/>
      <c r="BB1324" s="165"/>
      <c r="BF1324" s="155"/>
    </row>
    <row r="1325" spans="1:59" s="154" customFormat="1" ht="15" customHeight="1">
      <c r="A1325" s="168" t="s">
        <v>4951</v>
      </c>
      <c r="B1325" s="169" t="s">
        <v>5067</v>
      </c>
      <c r="C1325" s="154" t="s">
        <v>4955</v>
      </c>
      <c r="D1325" s="170">
        <v>297</v>
      </c>
      <c r="E1325" s="154">
        <v>3</v>
      </c>
      <c r="F1325" s="154" t="s">
        <v>4952</v>
      </c>
      <c r="G1325" s="154" t="s">
        <v>5068</v>
      </c>
      <c r="J1325" s="154" t="s">
        <v>29</v>
      </c>
      <c r="K1325" s="154" t="s">
        <v>2426</v>
      </c>
      <c r="N1325" s="155"/>
      <c r="O1325" s="156"/>
      <c r="P1325" s="157"/>
      <c r="Q1325" s="158">
        <v>4</v>
      </c>
      <c r="R1325" s="159">
        <v>1</v>
      </c>
      <c r="S1325" s="160"/>
      <c r="T1325" s="161">
        <v>4</v>
      </c>
      <c r="U1325" s="156"/>
      <c r="V1325" s="162">
        <v>1</v>
      </c>
      <c r="W1325" s="163">
        <v>1</v>
      </c>
      <c r="X1325" s="164"/>
      <c r="Y1325" s="159"/>
      <c r="Z1325" s="161"/>
      <c r="AA1325" s="165"/>
      <c r="AD1325" s="154" t="s">
        <v>3861</v>
      </c>
      <c r="AE1325" s="155"/>
      <c r="AF1325" s="154" t="s">
        <v>5069</v>
      </c>
      <c r="AP1325" s="155"/>
      <c r="AQ1325" s="156"/>
      <c r="AR1325" s="157"/>
      <c r="AS1325" s="158"/>
      <c r="AT1325" s="159"/>
      <c r="AU1325" s="161"/>
      <c r="AV1325" s="156"/>
      <c r="AW1325" s="162"/>
      <c r="AX1325" s="163"/>
      <c r="AY1325" s="164"/>
      <c r="AZ1325" s="159"/>
      <c r="BA1325" s="161"/>
      <c r="BB1325" s="165"/>
      <c r="BF1325" s="155"/>
    </row>
    <row r="1326" spans="1:59" s="154" customFormat="1" ht="15" customHeight="1">
      <c r="A1326" s="168" t="s">
        <v>4951</v>
      </c>
      <c r="B1326" s="153" t="s">
        <v>5070</v>
      </c>
      <c r="C1326" s="154" t="s">
        <v>4955</v>
      </c>
      <c r="D1326" s="170">
        <v>298</v>
      </c>
      <c r="E1326" s="154">
        <v>1</v>
      </c>
      <c r="F1326" s="154" t="s">
        <v>4952</v>
      </c>
      <c r="G1326" s="154" t="s">
        <v>5071</v>
      </c>
      <c r="J1326" s="154" t="s">
        <v>29</v>
      </c>
      <c r="K1326" s="154" t="s">
        <v>2426</v>
      </c>
      <c r="N1326" s="155"/>
      <c r="O1326" s="156"/>
      <c r="P1326" s="157"/>
      <c r="Q1326" s="158">
        <v>5</v>
      </c>
      <c r="R1326" s="159" t="s">
        <v>32</v>
      </c>
      <c r="S1326" s="160"/>
      <c r="T1326" s="161">
        <v>6</v>
      </c>
      <c r="U1326" s="156"/>
      <c r="V1326" s="162">
        <v>3</v>
      </c>
      <c r="W1326" s="163">
        <v>2</v>
      </c>
      <c r="X1326" s="164"/>
      <c r="Y1326" s="159"/>
      <c r="Z1326" s="161"/>
      <c r="AA1326" s="165">
        <v>2</v>
      </c>
      <c r="AD1326" s="154" t="s">
        <v>2784</v>
      </c>
      <c r="AE1326" s="155"/>
      <c r="AF1326" s="154" t="s">
        <v>5072</v>
      </c>
      <c r="AP1326" s="155"/>
      <c r="AQ1326" s="156"/>
      <c r="AR1326" s="157"/>
      <c r="AS1326" s="158"/>
      <c r="AT1326" s="159"/>
      <c r="AU1326" s="161"/>
      <c r="AV1326" s="156"/>
      <c r="AW1326" s="162"/>
      <c r="AX1326" s="163"/>
      <c r="AY1326" s="164"/>
      <c r="AZ1326" s="159"/>
      <c r="BA1326" s="161"/>
      <c r="BB1326" s="165"/>
      <c r="BF1326" s="155"/>
    </row>
    <row r="1327" spans="1:59" s="154" customFormat="1" ht="15" customHeight="1">
      <c r="A1327" s="168" t="s">
        <v>4951</v>
      </c>
      <c r="B1327" s="153" t="s">
        <v>5073</v>
      </c>
      <c r="C1327" s="154" t="s">
        <v>4955</v>
      </c>
      <c r="D1327" s="170">
        <v>299</v>
      </c>
      <c r="E1327" s="154">
        <v>3</v>
      </c>
      <c r="F1327" s="154" t="s">
        <v>4952</v>
      </c>
      <c r="G1327" s="154" t="s">
        <v>5074</v>
      </c>
      <c r="J1327" s="154" t="s">
        <v>28</v>
      </c>
      <c r="K1327" s="154" t="s">
        <v>2426</v>
      </c>
      <c r="N1327" s="155"/>
      <c r="O1327" s="156"/>
      <c r="P1327" s="157"/>
      <c r="Q1327" s="158"/>
      <c r="R1327" s="159"/>
      <c r="S1327" s="160"/>
      <c r="T1327" s="161"/>
      <c r="U1327" s="156"/>
      <c r="V1327" s="162"/>
      <c r="W1327" s="163"/>
      <c r="X1327" s="164"/>
      <c r="Y1327" s="159"/>
      <c r="Z1327" s="161"/>
      <c r="AA1327" s="165"/>
      <c r="AD1327" s="154" t="s">
        <v>1196</v>
      </c>
      <c r="AE1327" s="155"/>
      <c r="AF1327" s="154" t="s">
        <v>5075</v>
      </c>
      <c r="AP1327" s="155"/>
      <c r="AQ1327" s="156"/>
      <c r="AR1327" s="157"/>
      <c r="AS1327" s="158"/>
      <c r="AT1327" s="159"/>
      <c r="AU1327" s="161"/>
      <c r="AV1327" s="156"/>
      <c r="AW1327" s="162"/>
      <c r="AX1327" s="163"/>
      <c r="AY1327" s="164"/>
      <c r="AZ1327" s="159"/>
      <c r="BA1327" s="161"/>
      <c r="BB1327" s="165"/>
      <c r="BF1327" s="155"/>
    </row>
    <row r="1328" spans="1:59" s="154" customFormat="1" ht="15" customHeight="1">
      <c r="A1328" s="168" t="s">
        <v>4951</v>
      </c>
      <c r="B1328" s="153" t="s">
        <v>5076</v>
      </c>
      <c r="C1328" s="154" t="s">
        <v>4955</v>
      </c>
      <c r="D1328" s="170">
        <v>300</v>
      </c>
      <c r="E1328" s="154">
        <v>3</v>
      </c>
      <c r="F1328" s="154" t="s">
        <v>4952</v>
      </c>
      <c r="G1328" s="154" t="s">
        <v>5077</v>
      </c>
      <c r="J1328" s="154" t="s">
        <v>28</v>
      </c>
      <c r="K1328" s="154" t="s">
        <v>2426</v>
      </c>
      <c r="N1328" s="155"/>
      <c r="O1328" s="156"/>
      <c r="P1328" s="157"/>
      <c r="Q1328" s="158"/>
      <c r="R1328" s="159"/>
      <c r="S1328" s="160"/>
      <c r="T1328" s="161"/>
      <c r="U1328" s="156"/>
      <c r="V1328" s="162"/>
      <c r="W1328" s="163"/>
      <c r="X1328" s="164"/>
      <c r="Y1328" s="159"/>
      <c r="Z1328" s="161"/>
      <c r="AA1328" s="165"/>
      <c r="AD1328" s="154" t="s">
        <v>481</v>
      </c>
      <c r="AE1328" s="155"/>
      <c r="AF1328" s="154" t="s">
        <v>5078</v>
      </c>
      <c r="AP1328" s="155"/>
      <c r="AQ1328" s="156"/>
      <c r="AR1328" s="157"/>
      <c r="AS1328" s="158"/>
      <c r="AT1328" s="159"/>
      <c r="AU1328" s="161"/>
      <c r="AV1328" s="156"/>
      <c r="AW1328" s="162"/>
      <c r="AX1328" s="163"/>
      <c r="AY1328" s="164"/>
      <c r="AZ1328" s="159"/>
      <c r="BA1328" s="161"/>
      <c r="BB1328" s="165"/>
      <c r="BF1328" s="155"/>
    </row>
    <row r="1329" spans="1:59" s="154" customFormat="1" ht="15" customHeight="1">
      <c r="A1329" s="168" t="s">
        <v>4951</v>
      </c>
      <c r="B1329" s="153" t="s">
        <v>5079</v>
      </c>
      <c r="C1329" s="154" t="s">
        <v>4955</v>
      </c>
      <c r="D1329" s="170">
        <v>301</v>
      </c>
      <c r="E1329" s="154">
        <v>3</v>
      </c>
      <c r="F1329" s="154" t="s">
        <v>4952</v>
      </c>
      <c r="G1329" s="154" t="s">
        <v>5080</v>
      </c>
      <c r="J1329" s="154" t="s">
        <v>28</v>
      </c>
      <c r="K1329" s="154" t="s">
        <v>2426</v>
      </c>
      <c r="N1329" s="155"/>
      <c r="O1329" s="156"/>
      <c r="P1329" s="157"/>
      <c r="Q1329" s="158"/>
      <c r="R1329" s="159"/>
      <c r="S1329" s="160"/>
      <c r="T1329" s="161"/>
      <c r="U1329" s="156"/>
      <c r="V1329" s="162"/>
      <c r="W1329" s="163"/>
      <c r="X1329" s="164"/>
      <c r="Y1329" s="159"/>
      <c r="Z1329" s="161"/>
      <c r="AA1329" s="165"/>
      <c r="AD1329" s="154" t="s">
        <v>481</v>
      </c>
      <c r="AE1329" s="155"/>
      <c r="AF1329" s="154" t="s">
        <v>5081</v>
      </c>
      <c r="AP1329" s="155"/>
      <c r="AQ1329" s="156"/>
      <c r="AR1329" s="157"/>
      <c r="AS1329" s="158"/>
      <c r="AT1329" s="159"/>
      <c r="AU1329" s="161"/>
      <c r="AV1329" s="156"/>
      <c r="AW1329" s="162"/>
      <c r="AX1329" s="163"/>
      <c r="AY1329" s="164"/>
      <c r="AZ1329" s="159"/>
      <c r="BA1329" s="161"/>
      <c r="BB1329" s="165"/>
      <c r="BF1329" s="155"/>
    </row>
    <row r="1330" spans="1:59" s="154" customFormat="1" ht="15" customHeight="1">
      <c r="A1330" s="168" t="s">
        <v>4951</v>
      </c>
      <c r="B1330" s="153" t="s">
        <v>5082</v>
      </c>
      <c r="C1330" s="154" t="s">
        <v>4955</v>
      </c>
      <c r="D1330" s="155">
        <v>302</v>
      </c>
      <c r="E1330" s="154">
        <v>2</v>
      </c>
      <c r="F1330" s="154" t="s">
        <v>4952</v>
      </c>
      <c r="G1330" s="154" t="s">
        <v>5083</v>
      </c>
      <c r="J1330" s="154" t="s">
        <v>28</v>
      </c>
      <c r="K1330" s="154" t="s">
        <v>2426</v>
      </c>
      <c r="N1330" s="155"/>
      <c r="O1330" s="156"/>
      <c r="P1330" s="157"/>
      <c r="Q1330" s="158"/>
      <c r="R1330" s="159"/>
      <c r="S1330" s="160"/>
      <c r="T1330" s="161"/>
      <c r="U1330" s="156"/>
      <c r="V1330" s="162"/>
      <c r="W1330" s="163"/>
      <c r="X1330" s="164"/>
      <c r="Y1330" s="159"/>
      <c r="Z1330" s="161"/>
      <c r="AA1330" s="165"/>
      <c r="AD1330" s="154" t="s">
        <v>1196</v>
      </c>
      <c r="AE1330" s="155"/>
      <c r="AF1330" s="154" t="s">
        <v>5084</v>
      </c>
      <c r="AP1330" s="155"/>
      <c r="AQ1330" s="156"/>
      <c r="AR1330" s="157"/>
      <c r="AS1330" s="158"/>
      <c r="AT1330" s="159"/>
      <c r="AU1330" s="161"/>
      <c r="AV1330" s="156"/>
      <c r="AW1330" s="162"/>
      <c r="AX1330" s="163"/>
      <c r="AY1330" s="164"/>
      <c r="AZ1330" s="159"/>
      <c r="BA1330" s="161"/>
      <c r="BB1330" s="165"/>
      <c r="BF1330" s="155"/>
    </row>
    <row r="1331" spans="1:59" s="154" customFormat="1" ht="15" customHeight="1">
      <c r="A1331" s="168" t="s">
        <v>4951</v>
      </c>
      <c r="B1331" s="153" t="s">
        <v>5085</v>
      </c>
      <c r="C1331" s="154" t="s">
        <v>4955</v>
      </c>
      <c r="D1331" s="155">
        <v>303</v>
      </c>
      <c r="E1331" s="154">
        <v>1</v>
      </c>
      <c r="F1331" s="154" t="s">
        <v>4952</v>
      </c>
      <c r="G1331" s="154" t="s">
        <v>3978</v>
      </c>
      <c r="H1331" s="154" t="s">
        <v>5086</v>
      </c>
      <c r="I1331" s="154" t="s">
        <v>223</v>
      </c>
      <c r="J1331" s="154" t="s">
        <v>257</v>
      </c>
      <c r="K1331" s="154" t="s">
        <v>26</v>
      </c>
      <c r="N1331" s="155">
        <v>2</v>
      </c>
      <c r="O1331" s="156"/>
      <c r="P1331" s="157"/>
      <c r="Q1331" s="158"/>
      <c r="R1331" s="159"/>
      <c r="S1331" s="160">
        <v>3</v>
      </c>
      <c r="T1331" s="161"/>
      <c r="U1331" s="156"/>
      <c r="V1331" s="162"/>
      <c r="W1331" s="163"/>
      <c r="X1331" s="164"/>
      <c r="Y1331" s="159"/>
      <c r="Z1331" s="161"/>
      <c r="AA1331" s="165"/>
      <c r="AB1331" s="154" t="s">
        <v>1996</v>
      </c>
      <c r="AD1331" s="154" t="s">
        <v>276</v>
      </c>
      <c r="AE1331" s="155"/>
      <c r="AF1331" s="154" t="s">
        <v>5087</v>
      </c>
      <c r="AP1331" s="155"/>
      <c r="AQ1331" s="156"/>
      <c r="AR1331" s="157"/>
      <c r="AS1331" s="158"/>
      <c r="AT1331" s="159"/>
      <c r="AU1331" s="161"/>
      <c r="AV1331" s="156"/>
      <c r="AW1331" s="162"/>
      <c r="AX1331" s="163"/>
      <c r="AY1331" s="164"/>
      <c r="AZ1331" s="159"/>
      <c r="BA1331" s="161"/>
      <c r="BB1331" s="165"/>
      <c r="BF1331" s="155"/>
    </row>
    <row r="1332" spans="1:59" s="171" customFormat="1" ht="15" customHeight="1">
      <c r="A1332" s="153" t="s">
        <v>5088</v>
      </c>
      <c r="B1332" s="154" t="s">
        <v>5094</v>
      </c>
      <c r="C1332" s="154" t="s">
        <v>5095</v>
      </c>
      <c r="D1332" s="170">
        <v>304</v>
      </c>
      <c r="E1332" s="171">
        <v>2</v>
      </c>
      <c r="F1332" s="154"/>
      <c r="G1332" s="171" t="s">
        <v>5096</v>
      </c>
      <c r="J1332" s="171" t="s">
        <v>257</v>
      </c>
      <c r="K1332" s="171" t="s">
        <v>198</v>
      </c>
      <c r="L1332" s="171">
        <v>1</v>
      </c>
      <c r="N1332" s="170">
        <v>3</v>
      </c>
      <c r="O1332" s="156">
        <v>1</v>
      </c>
      <c r="P1332" s="157"/>
      <c r="Q1332" s="158"/>
      <c r="R1332" s="159"/>
      <c r="S1332" s="160"/>
      <c r="T1332" s="161"/>
      <c r="U1332" s="156"/>
      <c r="V1332" s="162"/>
      <c r="W1332" s="163"/>
      <c r="X1332" s="164"/>
      <c r="Y1332" s="159"/>
      <c r="Z1332" s="161"/>
      <c r="AA1332" s="165"/>
      <c r="AB1332" s="171" t="s">
        <v>204</v>
      </c>
      <c r="AD1332" s="171" t="s">
        <v>265</v>
      </c>
      <c r="AE1332" s="170"/>
      <c r="AF1332" s="171" t="s">
        <v>5097</v>
      </c>
      <c r="AQ1332" s="156"/>
      <c r="AR1332" s="157"/>
      <c r="AS1332" s="158"/>
      <c r="AT1332" s="159"/>
      <c r="AU1332" s="161"/>
      <c r="AV1332" s="156"/>
      <c r="AW1332" s="162"/>
      <c r="AX1332" s="163"/>
      <c r="AY1332" s="164"/>
      <c r="AZ1332" s="159"/>
      <c r="BA1332" s="161"/>
      <c r="BB1332" s="165"/>
      <c r="BF1332" s="170"/>
    </row>
    <row r="1333" spans="1:59" s="154" customFormat="1" ht="15" customHeight="1">
      <c r="A1333" s="153" t="s">
        <v>5088</v>
      </c>
      <c r="B1333" s="154" t="s">
        <v>5098</v>
      </c>
      <c r="C1333" s="154" t="s">
        <v>5095</v>
      </c>
      <c r="D1333" s="170">
        <v>305</v>
      </c>
      <c r="E1333" s="154">
        <v>2</v>
      </c>
      <c r="G1333" s="154" t="s">
        <v>5099</v>
      </c>
      <c r="J1333" s="171" t="s">
        <v>257</v>
      </c>
      <c r="K1333" s="154" t="s">
        <v>198</v>
      </c>
      <c r="L1333" s="154">
        <v>5</v>
      </c>
      <c r="N1333" s="155">
        <v>4</v>
      </c>
      <c r="O1333" s="156"/>
      <c r="P1333" s="157"/>
      <c r="Q1333" s="158">
        <v>2</v>
      </c>
      <c r="R1333" s="159"/>
      <c r="S1333" s="160">
        <v>1</v>
      </c>
      <c r="T1333" s="161"/>
      <c r="U1333" s="156"/>
      <c r="V1333" s="162"/>
      <c r="W1333" s="163"/>
      <c r="X1333" s="164"/>
      <c r="Y1333" s="159"/>
      <c r="Z1333" s="161"/>
      <c r="AA1333" s="165"/>
      <c r="AB1333" s="154" t="s">
        <v>1342</v>
      </c>
      <c r="AC1333" s="154" t="s">
        <v>5100</v>
      </c>
      <c r="AD1333" s="154" t="s">
        <v>259</v>
      </c>
      <c r="AE1333" s="155"/>
      <c r="AF1333" s="154" t="s">
        <v>5101</v>
      </c>
      <c r="AL1333" s="171"/>
      <c r="AO1333" s="155"/>
      <c r="AP1333" s="155"/>
      <c r="AQ1333" s="156"/>
      <c r="AR1333" s="157"/>
      <c r="AS1333" s="158"/>
      <c r="AT1333" s="159"/>
      <c r="AU1333" s="161"/>
      <c r="AV1333" s="156"/>
      <c r="AW1333" s="162"/>
      <c r="AX1333" s="163"/>
      <c r="AY1333" s="164"/>
      <c r="AZ1333" s="159"/>
      <c r="BA1333" s="161"/>
      <c r="BB1333" s="165"/>
      <c r="BE1333" s="155"/>
    </row>
    <row r="1334" spans="1:59" s="154" customFormat="1" ht="15" customHeight="1">
      <c r="A1334" s="153" t="s">
        <v>5088</v>
      </c>
      <c r="B1334" s="153" t="s">
        <v>5102</v>
      </c>
      <c r="C1334" s="154" t="s">
        <v>5095</v>
      </c>
      <c r="D1334" s="170">
        <v>306</v>
      </c>
      <c r="E1334" s="154">
        <v>2</v>
      </c>
      <c r="G1334" s="154" t="s">
        <v>5103</v>
      </c>
      <c r="J1334" s="171" t="s">
        <v>27</v>
      </c>
      <c r="K1334" s="154" t="s">
        <v>199</v>
      </c>
      <c r="L1334" s="154">
        <v>0</v>
      </c>
      <c r="N1334" s="155">
        <v>1</v>
      </c>
      <c r="O1334" s="156"/>
      <c r="P1334" s="157">
        <v>1</v>
      </c>
      <c r="Q1334" s="158"/>
      <c r="R1334" s="159">
        <v>1</v>
      </c>
      <c r="S1334" s="160"/>
      <c r="T1334" s="161"/>
      <c r="U1334" s="156"/>
      <c r="V1334" s="162"/>
      <c r="W1334" s="163"/>
      <c r="X1334" s="164"/>
      <c r="Y1334" s="159"/>
      <c r="Z1334" s="161"/>
      <c r="AA1334" s="165"/>
      <c r="AB1334" s="154" t="s">
        <v>1089</v>
      </c>
      <c r="AD1334" s="154" t="s">
        <v>340</v>
      </c>
      <c r="AE1334" s="155"/>
      <c r="AF1334" s="154" t="s">
        <v>5104</v>
      </c>
      <c r="AL1334" s="171"/>
      <c r="AO1334" s="155"/>
      <c r="AP1334" s="155"/>
      <c r="AQ1334" s="156"/>
      <c r="AR1334" s="157"/>
      <c r="AS1334" s="158"/>
      <c r="AT1334" s="159"/>
      <c r="AU1334" s="161"/>
      <c r="AV1334" s="156"/>
      <c r="AW1334" s="162"/>
      <c r="AX1334" s="163"/>
      <c r="AY1334" s="164"/>
      <c r="AZ1334" s="159"/>
      <c r="BA1334" s="161"/>
      <c r="BB1334" s="165"/>
      <c r="BE1334" s="155"/>
    </row>
    <row r="1335" spans="1:59" s="154" customFormat="1" ht="15" customHeight="1">
      <c r="A1335" s="153" t="s">
        <v>5088</v>
      </c>
      <c r="B1335" s="153" t="s">
        <v>5105</v>
      </c>
      <c r="C1335" s="154" t="s">
        <v>5095</v>
      </c>
      <c r="D1335" s="170">
        <v>307</v>
      </c>
      <c r="E1335" s="154">
        <v>2</v>
      </c>
      <c r="G1335" s="154" t="s">
        <v>5106</v>
      </c>
      <c r="H1335" s="154" t="s">
        <v>5107</v>
      </c>
      <c r="I1335" s="154" t="s">
        <v>223</v>
      </c>
      <c r="J1335" s="171" t="s">
        <v>257</v>
      </c>
      <c r="K1335" s="154" t="s">
        <v>199</v>
      </c>
      <c r="L1335" s="154">
        <v>5</v>
      </c>
      <c r="N1335" s="155">
        <v>5</v>
      </c>
      <c r="O1335" s="156"/>
      <c r="P1335" s="157">
        <v>1</v>
      </c>
      <c r="Q1335" s="158"/>
      <c r="R1335" s="159"/>
      <c r="S1335" s="160">
        <v>1</v>
      </c>
      <c r="T1335" s="161"/>
      <c r="U1335" s="156"/>
      <c r="V1335" s="162"/>
      <c r="W1335" s="163"/>
      <c r="X1335" s="164"/>
      <c r="Y1335" s="159"/>
      <c r="Z1335" s="161"/>
      <c r="AA1335" s="165"/>
      <c r="AB1335" s="154" t="s">
        <v>1178</v>
      </c>
      <c r="AC1335" s="154" t="s">
        <v>258</v>
      </c>
      <c r="AD1335" s="154" t="s">
        <v>5108</v>
      </c>
      <c r="AE1335" s="155"/>
      <c r="AF1335" s="154" t="s">
        <v>5109</v>
      </c>
      <c r="AL1335" s="171"/>
      <c r="AO1335" s="155"/>
      <c r="AP1335" s="155"/>
      <c r="AQ1335" s="156"/>
      <c r="AR1335" s="157"/>
      <c r="AS1335" s="158"/>
      <c r="AT1335" s="159"/>
      <c r="AU1335" s="161"/>
      <c r="AV1335" s="156"/>
      <c r="AW1335" s="162"/>
      <c r="AX1335" s="163"/>
      <c r="AY1335" s="164"/>
      <c r="AZ1335" s="159"/>
      <c r="BA1335" s="161"/>
      <c r="BB1335" s="165"/>
      <c r="BE1335" s="155"/>
    </row>
    <row r="1336" spans="1:59" s="154" customFormat="1" ht="15" customHeight="1">
      <c r="A1336" s="153" t="s">
        <v>5088</v>
      </c>
      <c r="B1336" s="153" t="s">
        <v>5110</v>
      </c>
      <c r="C1336" s="154" t="s">
        <v>5095</v>
      </c>
      <c r="D1336" s="170">
        <v>308</v>
      </c>
      <c r="E1336" s="154">
        <v>2</v>
      </c>
      <c r="G1336" s="154" t="s">
        <v>5111</v>
      </c>
      <c r="J1336" s="154" t="s">
        <v>257</v>
      </c>
      <c r="K1336" s="154" t="s">
        <v>201</v>
      </c>
      <c r="L1336" s="154">
        <v>3</v>
      </c>
      <c r="N1336" s="154">
        <v>1</v>
      </c>
      <c r="O1336" s="156">
        <v>1</v>
      </c>
      <c r="P1336" s="157"/>
      <c r="Q1336" s="158"/>
      <c r="R1336" s="159">
        <v>1</v>
      </c>
      <c r="S1336" s="160"/>
      <c r="T1336" s="161"/>
      <c r="U1336" s="156"/>
      <c r="V1336" s="162"/>
      <c r="W1336" s="163"/>
      <c r="X1336" s="164"/>
      <c r="Y1336" s="159"/>
      <c r="Z1336" s="161"/>
      <c r="AA1336" s="165"/>
      <c r="AB1336" s="154" t="s">
        <v>1085</v>
      </c>
      <c r="AC1336" s="154" t="s">
        <v>378</v>
      </c>
      <c r="AD1336" s="154" t="s">
        <v>2567</v>
      </c>
      <c r="AF1336" s="154" t="s">
        <v>5112</v>
      </c>
      <c r="AO1336" s="155"/>
      <c r="AQ1336" s="156"/>
      <c r="AR1336" s="157"/>
      <c r="AS1336" s="158"/>
      <c r="AT1336" s="159"/>
      <c r="AU1336" s="161"/>
      <c r="AV1336" s="156"/>
      <c r="AW1336" s="162"/>
      <c r="AX1336" s="163"/>
      <c r="AY1336" s="164"/>
      <c r="AZ1336" s="159"/>
      <c r="BA1336" s="161"/>
      <c r="BB1336" s="165"/>
      <c r="BE1336" s="155"/>
    </row>
    <row r="1337" spans="1:59" s="154" customFormat="1" ht="15" customHeight="1">
      <c r="A1337" s="153" t="s">
        <v>5088</v>
      </c>
      <c r="B1337" s="169" t="s">
        <v>5113</v>
      </c>
      <c r="C1337" s="154" t="s">
        <v>5095</v>
      </c>
      <c r="D1337" s="170">
        <v>309</v>
      </c>
      <c r="E1337" s="154">
        <v>2</v>
      </c>
      <c r="G1337" s="154" t="s">
        <v>1560</v>
      </c>
      <c r="J1337" s="154" t="s">
        <v>312</v>
      </c>
      <c r="K1337" s="154" t="s">
        <v>201</v>
      </c>
      <c r="L1337" s="154">
        <v>5</v>
      </c>
      <c r="O1337" s="156"/>
      <c r="P1337" s="157"/>
      <c r="Q1337" s="158"/>
      <c r="R1337" s="159"/>
      <c r="S1337" s="160">
        <v>2</v>
      </c>
      <c r="T1337" s="161"/>
      <c r="U1337" s="156"/>
      <c r="V1337" s="162"/>
      <c r="W1337" s="163"/>
      <c r="X1337" s="164"/>
      <c r="Y1337" s="159"/>
      <c r="Z1337" s="161"/>
      <c r="AA1337" s="165"/>
      <c r="AB1337" s="154" t="s">
        <v>1082</v>
      </c>
      <c r="AD1337" s="154" t="s">
        <v>372</v>
      </c>
      <c r="AF1337" s="154" t="s">
        <v>5114</v>
      </c>
      <c r="AO1337" s="155"/>
      <c r="AQ1337" s="156"/>
      <c r="AR1337" s="157"/>
      <c r="AS1337" s="158"/>
      <c r="AT1337" s="159"/>
      <c r="AU1337" s="161"/>
      <c r="AV1337" s="156"/>
      <c r="AW1337" s="162"/>
      <c r="AX1337" s="163"/>
      <c r="AY1337" s="164"/>
      <c r="AZ1337" s="159"/>
      <c r="BA1337" s="161"/>
      <c r="BB1337" s="165"/>
      <c r="BE1337" s="155"/>
    </row>
    <row r="1338" spans="1:59" s="154" customFormat="1" ht="15" customHeight="1">
      <c r="A1338" s="153" t="s">
        <v>5088</v>
      </c>
      <c r="B1338" s="169" t="s">
        <v>5115</v>
      </c>
      <c r="C1338" s="154" t="s">
        <v>5095</v>
      </c>
      <c r="D1338" s="170">
        <v>310</v>
      </c>
      <c r="E1338" s="154">
        <v>2</v>
      </c>
      <c r="G1338" s="154" t="s">
        <v>5116</v>
      </c>
      <c r="J1338" s="154" t="s">
        <v>257</v>
      </c>
      <c r="K1338" s="154" t="s">
        <v>200</v>
      </c>
      <c r="L1338" s="154">
        <v>3</v>
      </c>
      <c r="N1338" s="154">
        <v>3</v>
      </c>
      <c r="O1338" s="156">
        <v>1</v>
      </c>
      <c r="P1338" s="157"/>
      <c r="Q1338" s="158">
        <v>1</v>
      </c>
      <c r="R1338" s="159"/>
      <c r="S1338" s="160"/>
      <c r="T1338" s="161"/>
      <c r="U1338" s="156"/>
      <c r="V1338" s="162"/>
      <c r="W1338" s="163"/>
      <c r="X1338" s="164"/>
      <c r="Y1338" s="159"/>
      <c r="Z1338" s="161"/>
      <c r="AA1338" s="165"/>
      <c r="AB1338" s="154" t="s">
        <v>1083</v>
      </c>
      <c r="AC1338" s="154" t="s">
        <v>378</v>
      </c>
      <c r="AD1338" s="154" t="s">
        <v>279</v>
      </c>
      <c r="AF1338" s="154" t="s">
        <v>5117</v>
      </c>
      <c r="AO1338" s="155"/>
      <c r="AQ1338" s="156"/>
      <c r="AR1338" s="157"/>
      <c r="AS1338" s="158"/>
      <c r="AT1338" s="159"/>
      <c r="AU1338" s="161"/>
      <c r="AV1338" s="156"/>
      <c r="AW1338" s="162"/>
      <c r="AX1338" s="163"/>
      <c r="AY1338" s="164"/>
      <c r="AZ1338" s="159"/>
      <c r="BA1338" s="161"/>
      <c r="BB1338" s="165"/>
      <c r="BE1338" s="155"/>
    </row>
    <row r="1339" spans="1:59" s="154" customFormat="1" ht="15" customHeight="1">
      <c r="A1339" s="153" t="s">
        <v>5088</v>
      </c>
      <c r="B1339" s="153" t="s">
        <v>5118</v>
      </c>
      <c r="C1339" s="154" t="s">
        <v>5095</v>
      </c>
      <c r="D1339" s="170">
        <v>311</v>
      </c>
      <c r="E1339" s="154">
        <v>2</v>
      </c>
      <c r="G1339" s="154" t="s">
        <v>5119</v>
      </c>
      <c r="H1339" s="154" t="s">
        <v>5120</v>
      </c>
      <c r="I1339" s="154" t="s">
        <v>223</v>
      </c>
      <c r="J1339" s="154" t="s">
        <v>257</v>
      </c>
      <c r="K1339" s="154" t="s">
        <v>200</v>
      </c>
      <c r="L1339" s="154">
        <v>5</v>
      </c>
      <c r="N1339" s="154">
        <v>4</v>
      </c>
      <c r="O1339" s="156">
        <v>1</v>
      </c>
      <c r="P1339" s="157"/>
      <c r="Q1339" s="158"/>
      <c r="R1339" s="159"/>
      <c r="S1339" s="160">
        <v>1</v>
      </c>
      <c r="T1339" s="161"/>
      <c r="U1339" s="156"/>
      <c r="V1339" s="162"/>
      <c r="W1339" s="163"/>
      <c r="X1339" s="164"/>
      <c r="Y1339" s="159"/>
      <c r="Z1339" s="161"/>
      <c r="AA1339" s="165"/>
      <c r="AB1339" s="154" t="s">
        <v>1086</v>
      </c>
      <c r="AC1339" s="154" t="s">
        <v>378</v>
      </c>
      <c r="AD1339" s="154" t="s">
        <v>5121</v>
      </c>
      <c r="AF1339" s="154" t="s">
        <v>5122</v>
      </c>
      <c r="AO1339" s="155"/>
      <c r="AQ1339" s="156"/>
      <c r="AR1339" s="157"/>
      <c r="AS1339" s="158"/>
      <c r="AT1339" s="159"/>
      <c r="AU1339" s="161"/>
      <c r="AV1339" s="156"/>
      <c r="AW1339" s="162"/>
      <c r="AX1339" s="163"/>
      <c r="AY1339" s="164"/>
      <c r="AZ1339" s="159"/>
      <c r="BA1339" s="161"/>
      <c r="BB1339" s="165"/>
      <c r="BE1339" s="155"/>
    </row>
    <row r="1340" spans="1:59" s="154" customFormat="1" ht="15" customHeight="1">
      <c r="A1340" s="153" t="s">
        <v>5088</v>
      </c>
      <c r="B1340" s="153" t="s">
        <v>5123</v>
      </c>
      <c r="C1340" s="154" t="s">
        <v>5095</v>
      </c>
      <c r="D1340" s="170">
        <v>312</v>
      </c>
      <c r="E1340" s="154">
        <v>2</v>
      </c>
      <c r="G1340" s="154" t="s">
        <v>5124</v>
      </c>
      <c r="J1340" s="154" t="s">
        <v>27</v>
      </c>
      <c r="K1340" s="154" t="s">
        <v>202</v>
      </c>
      <c r="L1340" s="154">
        <v>0</v>
      </c>
      <c r="N1340" s="172">
        <v>1</v>
      </c>
      <c r="O1340" s="156"/>
      <c r="P1340" s="157"/>
      <c r="Q1340" s="158"/>
      <c r="R1340" s="159"/>
      <c r="S1340" s="160"/>
      <c r="T1340" s="161"/>
      <c r="U1340" s="156"/>
      <c r="V1340" s="162"/>
      <c r="W1340" s="163"/>
      <c r="X1340" s="164"/>
      <c r="Y1340" s="159"/>
      <c r="Z1340" s="161"/>
      <c r="AA1340" s="165"/>
      <c r="AD1340" s="154" t="s">
        <v>3912</v>
      </c>
      <c r="AF1340" s="154" t="s">
        <v>5125</v>
      </c>
      <c r="AO1340" s="155"/>
      <c r="AQ1340" s="156"/>
      <c r="AR1340" s="157"/>
      <c r="AS1340" s="158"/>
      <c r="AT1340" s="159"/>
      <c r="AU1340" s="161"/>
      <c r="AV1340" s="156"/>
      <c r="AW1340" s="162"/>
      <c r="AX1340" s="163"/>
      <c r="AY1340" s="164"/>
      <c r="AZ1340" s="159"/>
      <c r="BA1340" s="161"/>
      <c r="BB1340" s="165"/>
      <c r="BE1340" s="155"/>
    </row>
    <row r="1341" spans="1:59" s="154" customFormat="1" ht="15" customHeight="1">
      <c r="A1341" s="153" t="s">
        <v>5088</v>
      </c>
      <c r="B1341" s="153" t="s">
        <v>5126</v>
      </c>
      <c r="C1341" s="154" t="s">
        <v>5095</v>
      </c>
      <c r="D1341" s="170">
        <v>313</v>
      </c>
      <c r="E1341" s="154">
        <v>2</v>
      </c>
      <c r="G1341" s="154" t="s">
        <v>5127</v>
      </c>
      <c r="J1341" s="154" t="s">
        <v>27</v>
      </c>
      <c r="K1341" s="154" t="s">
        <v>202</v>
      </c>
      <c r="L1341" s="154">
        <v>3</v>
      </c>
      <c r="N1341" s="154">
        <v>1</v>
      </c>
      <c r="O1341" s="156"/>
      <c r="P1341" s="157"/>
      <c r="Q1341" s="158"/>
      <c r="R1341" s="159"/>
      <c r="S1341" s="160">
        <v>1</v>
      </c>
      <c r="T1341" s="161"/>
      <c r="U1341" s="156"/>
      <c r="V1341" s="162"/>
      <c r="W1341" s="163"/>
      <c r="X1341" s="164"/>
      <c r="Y1341" s="159"/>
      <c r="Z1341" s="161"/>
      <c r="AA1341" s="165"/>
      <c r="AB1341" s="154" t="s">
        <v>208</v>
      </c>
      <c r="AD1341" s="154" t="s">
        <v>4099</v>
      </c>
      <c r="AF1341" s="154" t="s">
        <v>5128</v>
      </c>
      <c r="AO1341" s="155"/>
      <c r="AQ1341" s="156"/>
      <c r="AR1341" s="157"/>
      <c r="AS1341" s="158"/>
      <c r="AT1341" s="159"/>
      <c r="AU1341" s="161"/>
      <c r="AV1341" s="156"/>
      <c r="AW1341" s="162"/>
      <c r="AX1341" s="163"/>
      <c r="AY1341" s="164"/>
      <c r="AZ1341" s="159"/>
      <c r="BA1341" s="161"/>
      <c r="BB1341" s="165"/>
      <c r="BE1341" s="155"/>
    </row>
    <row r="1342" spans="1:59" s="154" customFormat="1" ht="15" customHeight="1">
      <c r="A1342" s="153" t="s">
        <v>5088</v>
      </c>
      <c r="B1342" s="153" t="s">
        <v>5129</v>
      </c>
      <c r="C1342" s="154" t="s">
        <v>5095</v>
      </c>
      <c r="D1342" s="170">
        <v>314</v>
      </c>
      <c r="E1342" s="154">
        <v>1</v>
      </c>
      <c r="F1342" s="154" t="s">
        <v>5090</v>
      </c>
      <c r="G1342" s="154" t="s">
        <v>5090</v>
      </c>
      <c r="J1342" s="154" t="s">
        <v>618</v>
      </c>
      <c r="K1342" s="154" t="s">
        <v>2426</v>
      </c>
      <c r="O1342" s="156"/>
      <c r="P1342" s="157"/>
      <c r="Q1342" s="158"/>
      <c r="R1342" s="159"/>
      <c r="S1342" s="160"/>
      <c r="T1342" s="161"/>
      <c r="U1342" s="156"/>
      <c r="V1342" s="162"/>
      <c r="W1342" s="163"/>
      <c r="X1342" s="164"/>
      <c r="Y1342" s="159"/>
      <c r="Z1342" s="161"/>
      <c r="AA1342" s="165"/>
      <c r="AF1342" s="154" t="s">
        <v>5130</v>
      </c>
      <c r="AI1342" s="154" t="s">
        <v>5090</v>
      </c>
      <c r="AL1342" s="154" t="s">
        <v>618</v>
      </c>
      <c r="AM1342" s="154" t="s">
        <v>2426</v>
      </c>
      <c r="AO1342" s="155"/>
      <c r="AQ1342" s="156"/>
      <c r="AR1342" s="157"/>
      <c r="AS1342" s="158"/>
      <c r="AT1342" s="159"/>
      <c r="AU1342" s="161"/>
      <c r="AV1342" s="156"/>
      <c r="AW1342" s="162"/>
      <c r="AX1342" s="163"/>
      <c r="AY1342" s="164"/>
      <c r="AZ1342" s="159"/>
      <c r="BA1342" s="161"/>
      <c r="BB1342" s="165"/>
      <c r="BE1342" s="155"/>
      <c r="BG1342" s="154" t="s">
        <v>5131</v>
      </c>
    </row>
    <row r="1343" spans="1:59" s="154" customFormat="1" ht="15" customHeight="1">
      <c r="A1343" s="153" t="s">
        <v>5088</v>
      </c>
      <c r="B1343" s="153" t="s">
        <v>5132</v>
      </c>
      <c r="C1343" s="154" t="s">
        <v>5095</v>
      </c>
      <c r="D1343" s="170">
        <v>315</v>
      </c>
      <c r="E1343" s="154">
        <v>1</v>
      </c>
      <c r="F1343" s="154" t="s">
        <v>5090</v>
      </c>
      <c r="G1343" s="154" t="s">
        <v>5133</v>
      </c>
      <c r="J1343" s="154" t="s">
        <v>619</v>
      </c>
      <c r="K1343" s="154" t="s">
        <v>2426</v>
      </c>
      <c r="O1343" s="156"/>
      <c r="P1343" s="157"/>
      <c r="Q1343" s="158"/>
      <c r="R1343" s="159"/>
      <c r="S1343" s="160"/>
      <c r="T1343" s="161"/>
      <c r="U1343" s="156"/>
      <c r="V1343" s="162"/>
      <c r="W1343" s="163"/>
      <c r="X1343" s="164"/>
      <c r="Y1343" s="159"/>
      <c r="Z1343" s="161">
        <v>6</v>
      </c>
      <c r="AA1343" s="165"/>
      <c r="AF1343" s="154" t="s">
        <v>5134</v>
      </c>
      <c r="AI1343" s="154" t="s">
        <v>5133</v>
      </c>
      <c r="AL1343" s="154" t="s">
        <v>619</v>
      </c>
      <c r="AM1343" s="154" t="s">
        <v>2426</v>
      </c>
      <c r="AO1343" s="155"/>
      <c r="AQ1343" s="156"/>
      <c r="AR1343" s="157"/>
      <c r="AS1343" s="158"/>
      <c r="AT1343" s="159"/>
      <c r="AU1343" s="161"/>
      <c r="AV1343" s="156"/>
      <c r="AW1343" s="162"/>
      <c r="AX1343" s="163"/>
      <c r="AY1343" s="164"/>
      <c r="AZ1343" s="159"/>
      <c r="BA1343" s="161"/>
      <c r="BB1343" s="165"/>
      <c r="BE1343" s="155"/>
      <c r="BG1343" s="154" t="s">
        <v>5135</v>
      </c>
    </row>
    <row r="1344" spans="1:59" s="154" customFormat="1" ht="15" customHeight="1">
      <c r="A1344" s="153" t="s">
        <v>5088</v>
      </c>
      <c r="B1344" s="153" t="s">
        <v>5136</v>
      </c>
      <c r="C1344" s="154" t="s">
        <v>5095</v>
      </c>
      <c r="D1344" s="170">
        <v>316</v>
      </c>
      <c r="E1344" s="154">
        <v>1</v>
      </c>
      <c r="F1344" s="154" t="s">
        <v>5090</v>
      </c>
      <c r="G1344" s="154" t="s">
        <v>5137</v>
      </c>
      <c r="J1344" s="154" t="s">
        <v>619</v>
      </c>
      <c r="K1344" s="154" t="s">
        <v>2426</v>
      </c>
      <c r="O1344" s="156"/>
      <c r="P1344" s="157"/>
      <c r="Q1344" s="158"/>
      <c r="R1344" s="159"/>
      <c r="S1344" s="160"/>
      <c r="T1344" s="161"/>
      <c r="U1344" s="156"/>
      <c r="V1344" s="162"/>
      <c r="W1344" s="163"/>
      <c r="X1344" s="164"/>
      <c r="Y1344" s="159"/>
      <c r="Z1344" s="161">
        <v>7</v>
      </c>
      <c r="AA1344" s="165"/>
      <c r="AF1344" s="154" t="s">
        <v>5134</v>
      </c>
      <c r="AI1344" s="154" t="s">
        <v>5137</v>
      </c>
      <c r="AL1344" s="154" t="s">
        <v>619</v>
      </c>
      <c r="AM1344" s="154" t="s">
        <v>2426</v>
      </c>
      <c r="AO1344" s="155"/>
      <c r="AQ1344" s="156"/>
      <c r="AR1344" s="157"/>
      <c r="AS1344" s="158"/>
      <c r="AT1344" s="159"/>
      <c r="AU1344" s="161"/>
      <c r="AV1344" s="156"/>
      <c r="AW1344" s="162"/>
      <c r="AX1344" s="163"/>
      <c r="AY1344" s="164"/>
      <c r="AZ1344" s="159"/>
      <c r="BA1344" s="161"/>
      <c r="BB1344" s="165"/>
      <c r="BE1344" s="155"/>
      <c r="BG1344" s="154" t="s">
        <v>5138</v>
      </c>
    </row>
    <row r="1345" spans="1:59" s="154" customFormat="1" ht="15" customHeight="1">
      <c r="A1345" s="153" t="s">
        <v>5088</v>
      </c>
      <c r="B1345" s="153" t="s">
        <v>5139</v>
      </c>
      <c r="C1345" s="154" t="s">
        <v>5095</v>
      </c>
      <c r="D1345" s="170">
        <v>317</v>
      </c>
      <c r="E1345" s="154">
        <v>1</v>
      </c>
      <c r="F1345" s="154" t="s">
        <v>5090</v>
      </c>
      <c r="G1345" s="154" t="s">
        <v>5140</v>
      </c>
      <c r="J1345" s="154" t="s">
        <v>619</v>
      </c>
      <c r="K1345" s="154" t="s">
        <v>2426</v>
      </c>
      <c r="O1345" s="156"/>
      <c r="P1345" s="157"/>
      <c r="Q1345" s="158"/>
      <c r="R1345" s="159"/>
      <c r="S1345" s="160"/>
      <c r="T1345" s="161"/>
      <c r="U1345" s="156"/>
      <c r="V1345" s="162"/>
      <c r="W1345" s="163"/>
      <c r="X1345" s="164"/>
      <c r="Y1345" s="159"/>
      <c r="Z1345" s="161">
        <v>12</v>
      </c>
      <c r="AA1345" s="165"/>
      <c r="AF1345" s="154" t="s">
        <v>5134</v>
      </c>
      <c r="AI1345" s="154" t="s">
        <v>5140</v>
      </c>
      <c r="AL1345" s="154" t="s">
        <v>619</v>
      </c>
      <c r="AM1345" s="154" t="s">
        <v>2426</v>
      </c>
      <c r="AO1345" s="155"/>
      <c r="AQ1345" s="156"/>
      <c r="AR1345" s="157"/>
      <c r="AS1345" s="158"/>
      <c r="AT1345" s="159"/>
      <c r="AU1345" s="161"/>
      <c r="AV1345" s="156"/>
      <c r="AW1345" s="162"/>
      <c r="AX1345" s="163"/>
      <c r="AY1345" s="164"/>
      <c r="AZ1345" s="159"/>
      <c r="BA1345" s="161"/>
      <c r="BB1345" s="165"/>
      <c r="BE1345" s="155"/>
      <c r="BG1345" s="154" t="s">
        <v>5141</v>
      </c>
    </row>
    <row r="1346" spans="1:59" s="154" customFormat="1" ht="15" customHeight="1">
      <c r="A1346" s="153" t="s">
        <v>5088</v>
      </c>
      <c r="B1346" s="153" t="s">
        <v>5142</v>
      </c>
      <c r="C1346" s="154" t="s">
        <v>5095</v>
      </c>
      <c r="D1346" s="170">
        <v>318</v>
      </c>
      <c r="E1346" s="154">
        <v>1</v>
      </c>
      <c r="F1346" s="154" t="s">
        <v>5090</v>
      </c>
      <c r="G1346" s="154" t="s">
        <v>5143</v>
      </c>
      <c r="J1346" s="154" t="s">
        <v>621</v>
      </c>
      <c r="K1346" s="154" t="s">
        <v>2426</v>
      </c>
      <c r="O1346" s="156"/>
      <c r="P1346" s="157"/>
      <c r="Q1346" s="158"/>
      <c r="R1346" s="159"/>
      <c r="S1346" s="160"/>
      <c r="T1346" s="161"/>
      <c r="U1346" s="156"/>
      <c r="V1346" s="162"/>
      <c r="W1346" s="163"/>
      <c r="X1346" s="164"/>
      <c r="Y1346" s="159" t="s">
        <v>1111</v>
      </c>
      <c r="Z1346" s="161"/>
      <c r="AA1346" s="165"/>
      <c r="AF1346" s="154" t="s">
        <v>5144</v>
      </c>
      <c r="AI1346" s="154" t="s">
        <v>5143</v>
      </c>
      <c r="AL1346" s="154" t="s">
        <v>621</v>
      </c>
      <c r="AM1346" s="154" t="s">
        <v>2426</v>
      </c>
      <c r="AO1346" s="155"/>
      <c r="AQ1346" s="156"/>
      <c r="AR1346" s="157"/>
      <c r="AS1346" s="158"/>
      <c r="AT1346" s="159"/>
      <c r="AU1346" s="161"/>
      <c r="AV1346" s="156"/>
      <c r="AW1346" s="162"/>
      <c r="AX1346" s="163"/>
      <c r="AY1346" s="164"/>
      <c r="AZ1346" s="159"/>
      <c r="BA1346" s="161"/>
      <c r="BB1346" s="165"/>
      <c r="BG1346" s="154" t="s">
        <v>5145</v>
      </c>
    </row>
    <row r="1347" spans="1:59" s="154" customFormat="1" ht="15" customHeight="1">
      <c r="A1347" s="153" t="s">
        <v>5088</v>
      </c>
      <c r="B1347" s="153" t="s">
        <v>5146</v>
      </c>
      <c r="C1347" s="154" t="s">
        <v>5095</v>
      </c>
      <c r="D1347" s="170">
        <v>319</v>
      </c>
      <c r="E1347" s="154">
        <v>1</v>
      </c>
      <c r="F1347" s="154" t="s">
        <v>5090</v>
      </c>
      <c r="G1347" s="154" t="s">
        <v>5147</v>
      </c>
      <c r="J1347" s="154" t="s">
        <v>621</v>
      </c>
      <c r="K1347" s="171" t="s">
        <v>2426</v>
      </c>
      <c r="O1347" s="156"/>
      <c r="P1347" s="157"/>
      <c r="Q1347" s="158"/>
      <c r="R1347" s="159"/>
      <c r="S1347" s="160"/>
      <c r="T1347" s="161"/>
      <c r="U1347" s="156"/>
      <c r="V1347" s="162"/>
      <c r="W1347" s="163"/>
      <c r="X1347" s="164"/>
      <c r="Y1347" s="159">
        <v>0</v>
      </c>
      <c r="Z1347" s="161"/>
      <c r="AA1347" s="165"/>
      <c r="AF1347" s="154" t="s">
        <v>5148</v>
      </c>
      <c r="AI1347" s="154" t="s">
        <v>5147</v>
      </c>
      <c r="AL1347" s="154" t="s">
        <v>621</v>
      </c>
      <c r="AM1347" s="171" t="s">
        <v>2426</v>
      </c>
      <c r="AO1347" s="155"/>
      <c r="AQ1347" s="156"/>
      <c r="AR1347" s="157"/>
      <c r="AS1347" s="158"/>
      <c r="AT1347" s="159"/>
      <c r="AU1347" s="161"/>
      <c r="AV1347" s="156"/>
      <c r="AW1347" s="162"/>
      <c r="AX1347" s="163"/>
      <c r="AY1347" s="164"/>
      <c r="AZ1347" s="159"/>
      <c r="BA1347" s="161"/>
      <c r="BB1347" s="165"/>
      <c r="BG1347" s="154" t="s">
        <v>5149</v>
      </c>
    </row>
    <row r="1348" spans="1:59" s="154" customFormat="1" ht="15" customHeight="1">
      <c r="A1348" s="153" t="s">
        <v>5088</v>
      </c>
      <c r="B1348" s="153" t="s">
        <v>5150</v>
      </c>
      <c r="C1348" s="154" t="s">
        <v>5095</v>
      </c>
      <c r="D1348" s="170">
        <v>320</v>
      </c>
      <c r="E1348" s="154">
        <v>1</v>
      </c>
      <c r="F1348" s="154" t="s">
        <v>5090</v>
      </c>
      <c r="G1348" s="154" t="s">
        <v>5151</v>
      </c>
      <c r="J1348" s="154" t="s">
        <v>621</v>
      </c>
      <c r="K1348" s="171" t="s">
        <v>2426</v>
      </c>
      <c r="O1348" s="156"/>
      <c r="P1348" s="157"/>
      <c r="Q1348" s="158"/>
      <c r="R1348" s="159"/>
      <c r="S1348" s="160"/>
      <c r="T1348" s="161"/>
      <c r="U1348" s="156"/>
      <c r="V1348" s="162"/>
      <c r="W1348" s="163"/>
      <c r="X1348" s="164"/>
      <c r="Y1348" s="159">
        <v>0</v>
      </c>
      <c r="Z1348" s="161"/>
      <c r="AA1348" s="165"/>
      <c r="AF1348" s="154" t="s">
        <v>5152</v>
      </c>
      <c r="AI1348" s="154" t="s">
        <v>5151</v>
      </c>
      <c r="AL1348" s="154" t="s">
        <v>621</v>
      </c>
      <c r="AM1348" s="154" t="s">
        <v>2426</v>
      </c>
      <c r="AO1348" s="155"/>
      <c r="AQ1348" s="156"/>
      <c r="AR1348" s="157"/>
      <c r="AS1348" s="158"/>
      <c r="AT1348" s="159"/>
      <c r="AU1348" s="161"/>
      <c r="AV1348" s="156"/>
      <c r="AW1348" s="162"/>
      <c r="AX1348" s="163"/>
      <c r="AY1348" s="164"/>
      <c r="AZ1348" s="159"/>
      <c r="BA1348" s="161"/>
      <c r="BB1348" s="165"/>
      <c r="BE1348" s="155"/>
      <c r="BG1348" s="154" t="s">
        <v>5153</v>
      </c>
    </row>
    <row r="1349" spans="1:59" s="154" customFormat="1" ht="15" customHeight="1">
      <c r="A1349" s="153" t="s">
        <v>5088</v>
      </c>
      <c r="B1349" s="169" t="s">
        <v>5154</v>
      </c>
      <c r="C1349" s="154" t="s">
        <v>5095</v>
      </c>
      <c r="D1349" s="170">
        <v>321</v>
      </c>
      <c r="E1349" s="154">
        <v>1</v>
      </c>
      <c r="F1349" s="154" t="s">
        <v>5090</v>
      </c>
      <c r="G1349" s="154" t="s">
        <v>5155</v>
      </c>
      <c r="J1349" s="154" t="s">
        <v>621</v>
      </c>
      <c r="K1349" s="171" t="s">
        <v>2426</v>
      </c>
      <c r="O1349" s="156"/>
      <c r="P1349" s="157"/>
      <c r="Q1349" s="158"/>
      <c r="R1349" s="159"/>
      <c r="S1349" s="160"/>
      <c r="T1349" s="161"/>
      <c r="U1349" s="156"/>
      <c r="V1349" s="162"/>
      <c r="W1349" s="163"/>
      <c r="X1349" s="164"/>
      <c r="Y1349" s="159">
        <v>0</v>
      </c>
      <c r="Z1349" s="161"/>
      <c r="AA1349" s="165"/>
      <c r="AF1349" s="154" t="s">
        <v>5156</v>
      </c>
      <c r="AI1349" s="154" t="s">
        <v>5155</v>
      </c>
      <c r="AL1349" s="154" t="s">
        <v>621</v>
      </c>
      <c r="AM1349" s="154" t="s">
        <v>2426</v>
      </c>
      <c r="AO1349" s="155"/>
      <c r="AQ1349" s="156"/>
      <c r="AR1349" s="157"/>
      <c r="AS1349" s="158"/>
      <c r="AT1349" s="159"/>
      <c r="AU1349" s="161"/>
      <c r="AV1349" s="156"/>
      <c r="AW1349" s="162"/>
      <c r="AX1349" s="163"/>
      <c r="AY1349" s="164"/>
      <c r="AZ1349" s="159"/>
      <c r="BA1349" s="161"/>
      <c r="BB1349" s="165"/>
      <c r="BE1349" s="155"/>
      <c r="BG1349" s="154" t="s">
        <v>5157</v>
      </c>
    </row>
    <row r="1350" spans="1:59" s="154" customFormat="1" ht="15" customHeight="1">
      <c r="A1350" s="153" t="s">
        <v>5088</v>
      </c>
      <c r="B1350" s="153" t="s">
        <v>5158</v>
      </c>
      <c r="C1350" s="154" t="s">
        <v>5095</v>
      </c>
      <c r="D1350" s="170">
        <v>322</v>
      </c>
      <c r="E1350" s="154">
        <v>1</v>
      </c>
      <c r="F1350" s="154" t="s">
        <v>5090</v>
      </c>
      <c r="G1350" s="154" t="s">
        <v>5159</v>
      </c>
      <c r="J1350" s="154" t="s">
        <v>621</v>
      </c>
      <c r="K1350" s="154" t="s">
        <v>2426</v>
      </c>
      <c r="O1350" s="156"/>
      <c r="P1350" s="157"/>
      <c r="Q1350" s="158"/>
      <c r="R1350" s="159"/>
      <c r="S1350" s="160"/>
      <c r="T1350" s="161"/>
      <c r="U1350" s="156"/>
      <c r="V1350" s="162"/>
      <c r="W1350" s="163"/>
      <c r="X1350" s="164"/>
      <c r="Y1350" s="159">
        <v>0</v>
      </c>
      <c r="Z1350" s="161"/>
      <c r="AA1350" s="165"/>
      <c r="AF1350" s="154" t="s">
        <v>5160</v>
      </c>
      <c r="AI1350" s="154" t="s">
        <v>5159</v>
      </c>
      <c r="AL1350" s="154" t="s">
        <v>621</v>
      </c>
      <c r="AM1350" s="154" t="s">
        <v>2426</v>
      </c>
      <c r="AO1350" s="155"/>
      <c r="AQ1350" s="156"/>
      <c r="AR1350" s="157"/>
      <c r="AS1350" s="158"/>
      <c r="AT1350" s="159"/>
      <c r="AU1350" s="161"/>
      <c r="AV1350" s="156"/>
      <c r="AW1350" s="162"/>
      <c r="AX1350" s="163"/>
      <c r="AY1350" s="164"/>
      <c r="AZ1350" s="159"/>
      <c r="BA1350" s="161"/>
      <c r="BB1350" s="165"/>
      <c r="BE1350" s="155"/>
      <c r="BG1350" s="154" t="s">
        <v>4556</v>
      </c>
    </row>
    <row r="1351" spans="1:59" s="154" customFormat="1" ht="15" customHeight="1">
      <c r="A1351" s="153" t="s">
        <v>5088</v>
      </c>
      <c r="B1351" s="153" t="s">
        <v>5161</v>
      </c>
      <c r="C1351" s="154" t="s">
        <v>5095</v>
      </c>
      <c r="D1351" s="170">
        <v>323</v>
      </c>
      <c r="E1351" s="154">
        <v>1</v>
      </c>
      <c r="F1351" s="154" t="s">
        <v>5090</v>
      </c>
      <c r="G1351" s="154" t="s">
        <v>5162</v>
      </c>
      <c r="J1351" s="154" t="s">
        <v>621</v>
      </c>
      <c r="K1351" s="154" t="s">
        <v>2426</v>
      </c>
      <c r="O1351" s="156"/>
      <c r="P1351" s="157"/>
      <c r="Q1351" s="158"/>
      <c r="R1351" s="159"/>
      <c r="S1351" s="160"/>
      <c r="T1351" s="161"/>
      <c r="U1351" s="156"/>
      <c r="V1351" s="162"/>
      <c r="W1351" s="163"/>
      <c r="X1351" s="164"/>
      <c r="Y1351" s="159">
        <v>0</v>
      </c>
      <c r="Z1351" s="161"/>
      <c r="AA1351" s="165"/>
      <c r="AF1351" s="154" t="s">
        <v>5163</v>
      </c>
      <c r="AI1351" s="154" t="s">
        <v>5162</v>
      </c>
      <c r="AL1351" s="154" t="s">
        <v>621</v>
      </c>
      <c r="AM1351" s="154" t="s">
        <v>2426</v>
      </c>
      <c r="AP1351" s="155"/>
      <c r="AQ1351" s="156"/>
      <c r="AR1351" s="157"/>
      <c r="AS1351" s="158"/>
      <c r="AT1351" s="159"/>
      <c r="AU1351" s="161"/>
      <c r="AV1351" s="156"/>
      <c r="AW1351" s="162"/>
      <c r="AX1351" s="163"/>
      <c r="AY1351" s="164"/>
      <c r="AZ1351" s="159"/>
      <c r="BA1351" s="161"/>
      <c r="BB1351" s="165"/>
      <c r="BF1351" s="155"/>
      <c r="BG1351" s="154" t="s">
        <v>5164</v>
      </c>
    </row>
    <row r="1352" spans="1:59" s="154" customFormat="1" ht="15" customHeight="1">
      <c r="A1352" s="153" t="s">
        <v>5088</v>
      </c>
      <c r="B1352" s="153" t="s">
        <v>5165</v>
      </c>
      <c r="C1352" s="154" t="s">
        <v>5095</v>
      </c>
      <c r="D1352" s="170">
        <v>324</v>
      </c>
      <c r="E1352" s="154">
        <v>1</v>
      </c>
      <c r="F1352" s="154" t="s">
        <v>5090</v>
      </c>
      <c r="G1352" s="154" t="s">
        <v>5166</v>
      </c>
      <c r="J1352" s="154" t="s">
        <v>31</v>
      </c>
      <c r="K1352" s="154" t="s">
        <v>2426</v>
      </c>
      <c r="N1352" s="155"/>
      <c r="O1352" s="156"/>
      <c r="P1352" s="157"/>
      <c r="Q1352" s="158"/>
      <c r="R1352" s="159"/>
      <c r="S1352" s="160"/>
      <c r="T1352" s="161"/>
      <c r="U1352" s="156"/>
      <c r="V1352" s="162"/>
      <c r="W1352" s="163"/>
      <c r="X1352" s="164"/>
      <c r="Y1352" s="159"/>
      <c r="Z1352" s="161"/>
      <c r="AA1352" s="165"/>
      <c r="AD1352" s="154" t="s">
        <v>3960</v>
      </c>
      <c r="AE1352" s="155"/>
      <c r="AI1352" s="154" t="s">
        <v>5166</v>
      </c>
      <c r="AJ1352" s="154" t="s">
        <v>5167</v>
      </c>
      <c r="AL1352" s="154" t="s">
        <v>31</v>
      </c>
      <c r="AM1352" s="154" t="s">
        <v>2426</v>
      </c>
      <c r="AP1352" s="155"/>
      <c r="AQ1352" s="156"/>
      <c r="AR1352" s="157"/>
      <c r="AS1352" s="158"/>
      <c r="AT1352" s="159"/>
      <c r="AU1352" s="161"/>
      <c r="AV1352" s="156"/>
      <c r="AW1352" s="162"/>
      <c r="AX1352" s="163"/>
      <c r="AY1352" s="164"/>
      <c r="AZ1352" s="159" t="s">
        <v>1073</v>
      </c>
      <c r="BA1352" s="161"/>
      <c r="BB1352" s="165"/>
      <c r="BE1352" s="154" t="s">
        <v>3960</v>
      </c>
      <c r="BF1352" s="155"/>
      <c r="BG1352" s="154" t="s">
        <v>5168</v>
      </c>
    </row>
    <row r="1353" spans="1:59" s="154" customFormat="1" ht="15" customHeight="1">
      <c r="A1353" s="153" t="s">
        <v>5088</v>
      </c>
      <c r="B1353" s="153" t="s">
        <v>5169</v>
      </c>
      <c r="C1353" s="154" t="s">
        <v>5095</v>
      </c>
      <c r="D1353" s="170">
        <v>325</v>
      </c>
      <c r="E1353" s="154">
        <v>1</v>
      </c>
      <c r="F1353" s="154" t="s">
        <v>5090</v>
      </c>
      <c r="G1353" s="154" t="s">
        <v>5458</v>
      </c>
      <c r="H1353" s="154" t="s">
        <v>5459</v>
      </c>
      <c r="I1353" s="154" t="s">
        <v>223</v>
      </c>
      <c r="J1353" s="154" t="s">
        <v>29</v>
      </c>
      <c r="K1353" s="154" t="s">
        <v>2426</v>
      </c>
      <c r="N1353" s="155"/>
      <c r="O1353" s="156"/>
      <c r="P1353" s="157"/>
      <c r="Q1353" s="158">
        <v>4</v>
      </c>
      <c r="R1353" s="159">
        <v>4</v>
      </c>
      <c r="S1353" s="160"/>
      <c r="T1353" s="161" t="s">
        <v>2025</v>
      </c>
      <c r="U1353" s="156"/>
      <c r="V1353" s="162">
        <v>2</v>
      </c>
      <c r="W1353" s="163">
        <v>1</v>
      </c>
      <c r="X1353" s="164"/>
      <c r="Y1353" s="159"/>
      <c r="Z1353" s="161"/>
      <c r="AA1353" s="165">
        <v>2</v>
      </c>
      <c r="AD1353" s="154" t="s">
        <v>3982</v>
      </c>
      <c r="AE1353" s="155"/>
      <c r="AF1353" s="154" t="s">
        <v>5172</v>
      </c>
      <c r="AI1353" s="154" t="s">
        <v>5170</v>
      </c>
      <c r="AL1353" s="154" t="s">
        <v>2702</v>
      </c>
      <c r="AM1353" s="154" t="s">
        <v>2426</v>
      </c>
      <c r="AP1353" s="155"/>
      <c r="AQ1353" s="156"/>
      <c r="AR1353" s="157"/>
      <c r="AS1353" s="158"/>
      <c r="AT1353" s="159"/>
      <c r="AU1353" s="161"/>
      <c r="AV1353" s="156"/>
      <c r="AW1353" s="162"/>
      <c r="AX1353" s="163"/>
      <c r="AY1353" s="164"/>
      <c r="AZ1353" s="159"/>
      <c r="BA1353" s="161"/>
      <c r="BB1353" s="165"/>
      <c r="BF1353" s="155"/>
      <c r="BG1353" s="154" t="s">
        <v>5171</v>
      </c>
    </row>
    <row r="1354" spans="1:59" s="154" customFormat="1" ht="15" customHeight="1">
      <c r="A1354" s="153" t="s">
        <v>5088</v>
      </c>
      <c r="B1354" s="153" t="s">
        <v>5173</v>
      </c>
      <c r="C1354" s="154" t="s">
        <v>5095</v>
      </c>
      <c r="D1354" s="170">
        <v>326</v>
      </c>
      <c r="E1354" s="154">
        <v>1</v>
      </c>
      <c r="F1354" s="154" t="s">
        <v>5090</v>
      </c>
      <c r="G1354" s="154" t="s">
        <v>3952</v>
      </c>
      <c r="H1354" s="154" t="s">
        <v>5460</v>
      </c>
      <c r="I1354" s="154" t="s">
        <v>223</v>
      </c>
      <c r="J1354" s="154" t="s">
        <v>29</v>
      </c>
      <c r="K1354" s="154" t="s">
        <v>2426</v>
      </c>
      <c r="N1354" s="155"/>
      <c r="O1354" s="156"/>
      <c r="P1354" s="157"/>
      <c r="Q1354" s="158">
        <v>6</v>
      </c>
      <c r="R1354" s="159">
        <v>3</v>
      </c>
      <c r="S1354" s="160"/>
      <c r="T1354" s="161" t="s">
        <v>4883</v>
      </c>
      <c r="U1354" s="156"/>
      <c r="V1354" s="162">
        <v>1</v>
      </c>
      <c r="W1354" s="163">
        <v>2</v>
      </c>
      <c r="X1354" s="164"/>
      <c r="Y1354" s="159"/>
      <c r="Z1354" s="161"/>
      <c r="AA1354" s="165">
        <v>2</v>
      </c>
      <c r="AD1354" s="154" t="s">
        <v>1135</v>
      </c>
      <c r="AE1354" s="155"/>
      <c r="AF1354" s="154" t="s">
        <v>5176</v>
      </c>
      <c r="AI1354" s="154" t="s">
        <v>5174</v>
      </c>
      <c r="AL1354" s="154" t="s">
        <v>2702</v>
      </c>
      <c r="AM1354" s="154" t="s">
        <v>2426</v>
      </c>
      <c r="AP1354" s="155"/>
      <c r="AQ1354" s="156"/>
      <c r="AR1354" s="157"/>
      <c r="AS1354" s="158"/>
      <c r="AT1354" s="159"/>
      <c r="AU1354" s="161"/>
      <c r="AV1354" s="156"/>
      <c r="AW1354" s="162"/>
      <c r="AX1354" s="163"/>
      <c r="AY1354" s="164"/>
      <c r="AZ1354" s="159"/>
      <c r="BA1354" s="161"/>
      <c r="BB1354" s="165"/>
      <c r="BF1354" s="155"/>
      <c r="BG1354" s="154" t="s">
        <v>5175</v>
      </c>
    </row>
    <row r="1355" spans="1:59" s="154" customFormat="1" ht="15" customHeight="1">
      <c r="A1355" s="153" t="s">
        <v>5088</v>
      </c>
      <c r="B1355" s="169" t="s">
        <v>5177</v>
      </c>
      <c r="C1355" s="154" t="s">
        <v>5095</v>
      </c>
      <c r="D1355" s="170">
        <v>327</v>
      </c>
      <c r="E1355" s="154">
        <v>1</v>
      </c>
      <c r="F1355" s="154" t="s">
        <v>5090</v>
      </c>
      <c r="G1355" s="154" t="s">
        <v>5178</v>
      </c>
      <c r="J1355" s="154" t="s">
        <v>31</v>
      </c>
      <c r="K1355" s="154" t="s">
        <v>2426</v>
      </c>
      <c r="N1355" s="155"/>
      <c r="O1355" s="156"/>
      <c r="P1355" s="157"/>
      <c r="Q1355" s="158"/>
      <c r="R1355" s="159"/>
      <c r="S1355" s="160"/>
      <c r="T1355" s="161"/>
      <c r="U1355" s="156"/>
      <c r="V1355" s="162"/>
      <c r="W1355" s="163"/>
      <c r="X1355" s="164"/>
      <c r="Y1355" s="159"/>
      <c r="Z1355" s="161"/>
      <c r="AA1355" s="165"/>
      <c r="AD1355" s="154" t="s">
        <v>2466</v>
      </c>
      <c r="AE1355" s="155"/>
      <c r="AI1355" s="154" t="s">
        <v>5178</v>
      </c>
      <c r="AL1355" s="154" t="s">
        <v>31</v>
      </c>
      <c r="AM1355" s="154" t="s">
        <v>2426</v>
      </c>
      <c r="AP1355" s="155"/>
      <c r="AQ1355" s="156"/>
      <c r="AR1355" s="157"/>
      <c r="AS1355" s="158"/>
      <c r="AT1355" s="159"/>
      <c r="AU1355" s="161"/>
      <c r="AV1355" s="156"/>
      <c r="AW1355" s="162"/>
      <c r="AX1355" s="163"/>
      <c r="AY1355" s="164">
        <v>2</v>
      </c>
      <c r="AZ1355" s="159" t="s">
        <v>1112</v>
      </c>
      <c r="BA1355" s="161"/>
      <c r="BB1355" s="165"/>
      <c r="BE1355" s="154" t="s">
        <v>2466</v>
      </c>
      <c r="BF1355" s="155"/>
      <c r="BG1355" s="154" t="s">
        <v>5179</v>
      </c>
    </row>
    <row r="1356" spans="1:59" s="154" customFormat="1" ht="15" customHeight="1">
      <c r="A1356" s="153" t="s">
        <v>5088</v>
      </c>
      <c r="B1356" s="153" t="s">
        <v>5180</v>
      </c>
      <c r="C1356" s="154" t="s">
        <v>5095</v>
      </c>
      <c r="D1356" s="170">
        <v>328</v>
      </c>
      <c r="E1356" s="154">
        <v>1</v>
      </c>
      <c r="F1356" s="154" t="s">
        <v>5090</v>
      </c>
      <c r="G1356" s="154" t="s">
        <v>5181</v>
      </c>
      <c r="J1356" s="154" t="s">
        <v>31</v>
      </c>
      <c r="K1356" s="154" t="s">
        <v>2426</v>
      </c>
      <c r="N1356" s="155"/>
      <c r="O1356" s="156"/>
      <c r="P1356" s="157"/>
      <c r="Q1356" s="158"/>
      <c r="R1356" s="159"/>
      <c r="S1356" s="160"/>
      <c r="T1356" s="161"/>
      <c r="U1356" s="156"/>
      <c r="V1356" s="162"/>
      <c r="W1356" s="163"/>
      <c r="X1356" s="164"/>
      <c r="Y1356" s="159"/>
      <c r="Z1356" s="161"/>
      <c r="AA1356" s="165"/>
      <c r="AD1356" s="154" t="s">
        <v>2466</v>
      </c>
      <c r="AE1356" s="155"/>
      <c r="AI1356" s="154" t="s">
        <v>5181</v>
      </c>
      <c r="AL1356" s="154" t="s">
        <v>31</v>
      </c>
      <c r="AM1356" s="154" t="s">
        <v>2426</v>
      </c>
      <c r="AP1356" s="155"/>
      <c r="AQ1356" s="156"/>
      <c r="AR1356" s="157"/>
      <c r="AS1356" s="158"/>
      <c r="AT1356" s="159"/>
      <c r="AU1356" s="161"/>
      <c r="AV1356" s="156"/>
      <c r="AW1356" s="162"/>
      <c r="AX1356" s="163"/>
      <c r="AY1356" s="164">
        <v>1</v>
      </c>
      <c r="AZ1356" s="159" t="s">
        <v>1111</v>
      </c>
      <c r="BA1356" s="161"/>
      <c r="BB1356" s="165"/>
      <c r="BE1356" s="154" t="s">
        <v>2466</v>
      </c>
      <c r="BF1356" s="155"/>
      <c r="BG1356" s="154" t="s">
        <v>5182</v>
      </c>
    </row>
    <row r="1357" spans="1:59" s="154" customFormat="1" ht="15" customHeight="1">
      <c r="A1357" s="153" t="s">
        <v>5088</v>
      </c>
      <c r="B1357" s="153" t="s">
        <v>5183</v>
      </c>
      <c r="C1357" s="154" t="s">
        <v>5095</v>
      </c>
      <c r="D1357" s="170">
        <v>329</v>
      </c>
      <c r="E1357" s="154">
        <v>1</v>
      </c>
      <c r="F1357" s="154" t="s">
        <v>5090</v>
      </c>
      <c r="G1357" s="154" t="s">
        <v>5184</v>
      </c>
      <c r="J1357" s="154" t="s">
        <v>31</v>
      </c>
      <c r="K1357" s="154" t="s">
        <v>2426</v>
      </c>
      <c r="N1357" s="155"/>
      <c r="O1357" s="156"/>
      <c r="P1357" s="157"/>
      <c r="Q1357" s="158"/>
      <c r="R1357" s="159"/>
      <c r="S1357" s="160"/>
      <c r="T1357" s="161"/>
      <c r="U1357" s="156"/>
      <c r="V1357" s="162"/>
      <c r="W1357" s="163"/>
      <c r="X1357" s="164"/>
      <c r="Y1357" s="159"/>
      <c r="Z1357" s="161"/>
      <c r="AA1357" s="165"/>
      <c r="AD1357" s="154" t="s">
        <v>2466</v>
      </c>
      <c r="AE1357" s="155"/>
      <c r="AI1357" s="153" t="s">
        <v>5184</v>
      </c>
      <c r="AL1357" s="154" t="s">
        <v>31</v>
      </c>
      <c r="AM1357" s="154" t="s">
        <v>2426</v>
      </c>
      <c r="AP1357" s="155"/>
      <c r="AQ1357" s="156"/>
      <c r="AR1357" s="157"/>
      <c r="AS1357" s="158"/>
      <c r="AT1357" s="159"/>
      <c r="AU1357" s="161"/>
      <c r="AV1357" s="156"/>
      <c r="AW1357" s="162"/>
      <c r="AX1357" s="163"/>
      <c r="AY1357" s="164">
        <v>4</v>
      </c>
      <c r="AZ1357" s="159" t="s">
        <v>1073</v>
      </c>
      <c r="BA1357" s="161"/>
      <c r="BB1357" s="165"/>
      <c r="BE1357" s="154" t="s">
        <v>2466</v>
      </c>
      <c r="BF1357" s="155"/>
      <c r="BG1357" s="154" t="s">
        <v>5185</v>
      </c>
    </row>
    <row r="1358" spans="1:59" s="154" customFormat="1" ht="15" customHeight="1">
      <c r="A1358" s="153" t="s">
        <v>5088</v>
      </c>
      <c r="B1358" s="153" t="s">
        <v>5186</v>
      </c>
      <c r="C1358" s="154" t="s">
        <v>5095</v>
      </c>
      <c r="D1358" s="170">
        <v>330</v>
      </c>
      <c r="E1358" s="154">
        <v>1</v>
      </c>
      <c r="F1358" s="154" t="s">
        <v>5090</v>
      </c>
      <c r="G1358" s="154" t="s">
        <v>5187</v>
      </c>
      <c r="J1358" s="154" t="s">
        <v>31</v>
      </c>
      <c r="K1358" s="154" t="s">
        <v>2426</v>
      </c>
      <c r="N1358" s="155"/>
      <c r="O1358" s="156"/>
      <c r="P1358" s="157"/>
      <c r="Q1358" s="158"/>
      <c r="R1358" s="159"/>
      <c r="S1358" s="160"/>
      <c r="T1358" s="161"/>
      <c r="U1358" s="156"/>
      <c r="V1358" s="162"/>
      <c r="W1358" s="163"/>
      <c r="X1358" s="164"/>
      <c r="Y1358" s="159"/>
      <c r="Z1358" s="161"/>
      <c r="AA1358" s="165"/>
      <c r="AD1358" s="154" t="s">
        <v>5188</v>
      </c>
      <c r="AE1358" s="155"/>
      <c r="AI1358" s="154" t="s">
        <v>5187</v>
      </c>
      <c r="AL1358" s="154" t="s">
        <v>31</v>
      </c>
      <c r="AM1358" s="154" t="s">
        <v>2426</v>
      </c>
      <c r="AP1358" s="155"/>
      <c r="AQ1358" s="156"/>
      <c r="AR1358" s="157"/>
      <c r="AS1358" s="158"/>
      <c r="AT1358" s="159"/>
      <c r="AU1358" s="161"/>
      <c r="AV1358" s="156"/>
      <c r="AW1358" s="162"/>
      <c r="AX1358" s="163"/>
      <c r="AY1358" s="164">
        <v>5</v>
      </c>
      <c r="AZ1358" s="159" t="s">
        <v>1073</v>
      </c>
      <c r="BA1358" s="161"/>
      <c r="BB1358" s="165">
        <v>1</v>
      </c>
      <c r="BE1358" s="154" t="s">
        <v>5188</v>
      </c>
      <c r="BF1358" s="155"/>
      <c r="BG1358" s="154" t="s">
        <v>5189</v>
      </c>
    </row>
    <row r="1359" spans="1:59" s="154" customFormat="1" ht="15" customHeight="1">
      <c r="A1359" s="153" t="s">
        <v>5088</v>
      </c>
      <c r="B1359" s="153" t="s">
        <v>5190</v>
      </c>
      <c r="C1359" s="154" t="s">
        <v>5095</v>
      </c>
      <c r="D1359" s="170">
        <v>331</v>
      </c>
      <c r="E1359" s="154">
        <v>1</v>
      </c>
      <c r="F1359" s="154" t="s">
        <v>5090</v>
      </c>
      <c r="G1359" s="154" t="s">
        <v>5191</v>
      </c>
      <c r="J1359" s="154" t="s">
        <v>31</v>
      </c>
      <c r="K1359" s="154" t="s">
        <v>2426</v>
      </c>
      <c r="N1359" s="155"/>
      <c r="O1359" s="156"/>
      <c r="P1359" s="157"/>
      <c r="Q1359" s="158"/>
      <c r="R1359" s="159"/>
      <c r="S1359" s="160"/>
      <c r="T1359" s="161"/>
      <c r="U1359" s="156"/>
      <c r="V1359" s="162"/>
      <c r="W1359" s="163"/>
      <c r="X1359" s="164"/>
      <c r="Y1359" s="159"/>
      <c r="Z1359" s="161"/>
      <c r="AA1359" s="165"/>
      <c r="AD1359" s="154" t="s">
        <v>5192</v>
      </c>
      <c r="AE1359" s="155"/>
      <c r="AI1359" s="154" t="s">
        <v>5191</v>
      </c>
      <c r="AL1359" s="154" t="s">
        <v>31</v>
      </c>
      <c r="AM1359" s="154" t="s">
        <v>2426</v>
      </c>
      <c r="AP1359" s="155"/>
      <c r="AQ1359" s="156"/>
      <c r="AR1359" s="157"/>
      <c r="AS1359" s="158"/>
      <c r="AT1359" s="159"/>
      <c r="AU1359" s="161"/>
      <c r="AV1359" s="156"/>
      <c r="AW1359" s="162"/>
      <c r="AX1359" s="163"/>
      <c r="AY1359" s="164">
        <v>1</v>
      </c>
      <c r="AZ1359" s="159" t="s">
        <v>1112</v>
      </c>
      <c r="BA1359" s="161"/>
      <c r="BB1359" s="165"/>
      <c r="BE1359" s="154" t="s">
        <v>5192</v>
      </c>
      <c r="BF1359" s="155"/>
      <c r="BG1359" s="154" t="s">
        <v>5193</v>
      </c>
    </row>
    <row r="1360" spans="1:59" s="154" customFormat="1" ht="15" customHeight="1">
      <c r="A1360" s="153" t="s">
        <v>5088</v>
      </c>
      <c r="B1360" s="153" t="s">
        <v>5194</v>
      </c>
      <c r="C1360" s="154" t="s">
        <v>5095</v>
      </c>
      <c r="D1360" s="170">
        <v>332</v>
      </c>
      <c r="E1360" s="154">
        <v>1</v>
      </c>
      <c r="F1360" s="154" t="s">
        <v>5090</v>
      </c>
      <c r="G1360" s="154" t="s">
        <v>5195</v>
      </c>
      <c r="J1360" s="154" t="s">
        <v>31</v>
      </c>
      <c r="K1360" s="154" t="s">
        <v>2426</v>
      </c>
      <c r="N1360" s="155"/>
      <c r="O1360" s="156"/>
      <c r="P1360" s="157"/>
      <c r="Q1360" s="158"/>
      <c r="R1360" s="159"/>
      <c r="S1360" s="160"/>
      <c r="T1360" s="161"/>
      <c r="U1360" s="156"/>
      <c r="V1360" s="162"/>
      <c r="W1360" s="163"/>
      <c r="X1360" s="164"/>
      <c r="Y1360" s="159"/>
      <c r="Z1360" s="161"/>
      <c r="AA1360" s="165"/>
      <c r="AD1360" s="154" t="s">
        <v>5196</v>
      </c>
      <c r="AE1360" s="155"/>
      <c r="AI1360" s="154" t="s">
        <v>5195</v>
      </c>
      <c r="AL1360" s="154" t="s">
        <v>31</v>
      </c>
      <c r="AM1360" s="154" t="s">
        <v>2426</v>
      </c>
      <c r="AP1360" s="155"/>
      <c r="AQ1360" s="156"/>
      <c r="AR1360" s="157"/>
      <c r="AS1360" s="158"/>
      <c r="AT1360" s="159"/>
      <c r="AU1360" s="161"/>
      <c r="AV1360" s="156"/>
      <c r="AW1360" s="162"/>
      <c r="AX1360" s="163"/>
      <c r="AY1360" s="164">
        <v>1</v>
      </c>
      <c r="AZ1360" s="159" t="s">
        <v>4883</v>
      </c>
      <c r="BA1360" s="161"/>
      <c r="BB1360" s="165">
        <v>1</v>
      </c>
      <c r="BE1360" s="154" t="s">
        <v>5196</v>
      </c>
      <c r="BF1360" s="155"/>
      <c r="BG1360" s="154" t="s">
        <v>5197</v>
      </c>
    </row>
    <row r="1361" spans="1:59" s="154" customFormat="1" ht="15" customHeight="1">
      <c r="A1361" s="153" t="s">
        <v>5088</v>
      </c>
      <c r="B1361" s="153" t="s">
        <v>5198</v>
      </c>
      <c r="C1361" s="154" t="s">
        <v>5095</v>
      </c>
      <c r="D1361" s="170">
        <v>333</v>
      </c>
      <c r="E1361" s="154">
        <v>1</v>
      </c>
      <c r="F1361" s="154" t="s">
        <v>5090</v>
      </c>
      <c r="G1361" s="154" t="s">
        <v>5199</v>
      </c>
      <c r="J1361" s="154" t="s">
        <v>31</v>
      </c>
      <c r="K1361" s="154" t="s">
        <v>2426</v>
      </c>
      <c r="N1361" s="155"/>
      <c r="O1361" s="156"/>
      <c r="P1361" s="157"/>
      <c r="Q1361" s="158"/>
      <c r="R1361" s="159"/>
      <c r="S1361" s="160"/>
      <c r="T1361" s="161"/>
      <c r="U1361" s="156"/>
      <c r="V1361" s="162"/>
      <c r="W1361" s="163"/>
      <c r="X1361" s="164"/>
      <c r="Y1361" s="159"/>
      <c r="Z1361" s="161"/>
      <c r="AA1361" s="165"/>
      <c r="AD1361" s="154" t="s">
        <v>5196</v>
      </c>
      <c r="AI1361" s="154" t="s">
        <v>5199</v>
      </c>
      <c r="AL1361" s="154" t="s">
        <v>31</v>
      </c>
      <c r="AM1361" s="154" t="s">
        <v>2426</v>
      </c>
      <c r="AP1361" s="155"/>
      <c r="AQ1361" s="156"/>
      <c r="AR1361" s="157"/>
      <c r="AS1361" s="158"/>
      <c r="AT1361" s="159"/>
      <c r="AU1361" s="161"/>
      <c r="AV1361" s="156"/>
      <c r="AW1361" s="162"/>
      <c r="AX1361" s="163"/>
      <c r="AY1361" s="164">
        <v>3</v>
      </c>
      <c r="AZ1361" s="159" t="s">
        <v>1111</v>
      </c>
      <c r="BA1361" s="161"/>
      <c r="BB1361" s="165"/>
      <c r="BE1361" s="154" t="s">
        <v>5196</v>
      </c>
      <c r="BF1361" s="155"/>
      <c r="BG1361" s="154" t="s">
        <v>5200</v>
      </c>
    </row>
    <row r="1362" spans="1:59" s="154" customFormat="1" ht="15" customHeight="1">
      <c r="A1362" s="153" t="s">
        <v>5088</v>
      </c>
      <c r="B1362" s="169" t="s">
        <v>5201</v>
      </c>
      <c r="C1362" s="154" t="s">
        <v>5095</v>
      </c>
      <c r="D1362" s="170">
        <v>334</v>
      </c>
      <c r="E1362" s="154">
        <v>1</v>
      </c>
      <c r="F1362" s="154" t="s">
        <v>5090</v>
      </c>
      <c r="G1362" s="154" t="s">
        <v>5202</v>
      </c>
      <c r="J1362" s="154" t="s">
        <v>31</v>
      </c>
      <c r="K1362" s="154" t="s">
        <v>2426</v>
      </c>
      <c r="N1362" s="155"/>
      <c r="O1362" s="156"/>
      <c r="P1362" s="157"/>
      <c r="Q1362" s="158"/>
      <c r="R1362" s="159"/>
      <c r="S1362" s="160"/>
      <c r="T1362" s="161"/>
      <c r="U1362" s="156"/>
      <c r="V1362" s="162"/>
      <c r="W1362" s="163"/>
      <c r="X1362" s="164"/>
      <c r="Y1362" s="159"/>
      <c r="Z1362" s="161"/>
      <c r="AA1362" s="165"/>
      <c r="AD1362" s="154" t="s">
        <v>5196</v>
      </c>
      <c r="AE1362" s="155"/>
      <c r="AI1362" s="154" t="s">
        <v>5202</v>
      </c>
      <c r="AL1362" s="154" t="s">
        <v>31</v>
      </c>
      <c r="AM1362" s="154" t="s">
        <v>2426</v>
      </c>
      <c r="AP1362" s="155"/>
      <c r="AQ1362" s="156"/>
      <c r="AR1362" s="157"/>
      <c r="AS1362" s="158"/>
      <c r="AT1362" s="159"/>
      <c r="AU1362" s="161"/>
      <c r="AV1362" s="156"/>
      <c r="AW1362" s="162"/>
      <c r="AX1362" s="163"/>
      <c r="AY1362" s="164">
        <v>2</v>
      </c>
      <c r="AZ1362" s="159" t="s">
        <v>1112</v>
      </c>
      <c r="BA1362" s="161"/>
      <c r="BB1362" s="165">
        <v>1</v>
      </c>
      <c r="BE1362" s="154" t="s">
        <v>5196</v>
      </c>
      <c r="BF1362" s="155"/>
      <c r="BG1362" s="154" t="s">
        <v>5203</v>
      </c>
    </row>
    <row r="1363" spans="1:59" s="154" customFormat="1" ht="15" customHeight="1">
      <c r="A1363" s="153" t="s">
        <v>5088</v>
      </c>
      <c r="B1363" s="153" t="s">
        <v>5204</v>
      </c>
      <c r="C1363" s="154" t="s">
        <v>5095</v>
      </c>
      <c r="D1363" s="170">
        <v>335</v>
      </c>
      <c r="E1363" s="154">
        <v>1</v>
      </c>
      <c r="F1363" s="154" t="s">
        <v>5090</v>
      </c>
      <c r="G1363" s="154" t="s">
        <v>5205</v>
      </c>
      <c r="J1363" s="154" t="s">
        <v>31</v>
      </c>
      <c r="K1363" s="154" t="s">
        <v>2426</v>
      </c>
      <c r="N1363" s="155"/>
      <c r="O1363" s="156"/>
      <c r="P1363" s="157"/>
      <c r="Q1363" s="158"/>
      <c r="R1363" s="159"/>
      <c r="S1363" s="160"/>
      <c r="T1363" s="161"/>
      <c r="U1363" s="156"/>
      <c r="V1363" s="162"/>
      <c r="W1363" s="163"/>
      <c r="X1363" s="164"/>
      <c r="Y1363" s="159"/>
      <c r="Z1363" s="161"/>
      <c r="AA1363" s="165"/>
      <c r="AD1363" s="154" t="s">
        <v>5196</v>
      </c>
      <c r="AE1363" s="155"/>
      <c r="AI1363" s="154" t="s">
        <v>5205</v>
      </c>
      <c r="AL1363" s="154" t="s">
        <v>31</v>
      </c>
      <c r="AM1363" s="154" t="s">
        <v>2426</v>
      </c>
      <c r="AP1363" s="155"/>
      <c r="AQ1363" s="156"/>
      <c r="AR1363" s="157"/>
      <c r="AS1363" s="158"/>
      <c r="AT1363" s="159"/>
      <c r="AU1363" s="161"/>
      <c r="AV1363" s="156"/>
      <c r="AW1363" s="162"/>
      <c r="AX1363" s="163"/>
      <c r="AY1363" s="164">
        <v>4</v>
      </c>
      <c r="AZ1363" s="159" t="s">
        <v>1111</v>
      </c>
      <c r="BA1363" s="161"/>
      <c r="BB1363" s="165">
        <v>1</v>
      </c>
      <c r="BE1363" s="154" t="s">
        <v>5196</v>
      </c>
      <c r="BF1363" s="155"/>
      <c r="BG1363" s="154" t="s">
        <v>5206</v>
      </c>
    </row>
    <row r="1364" spans="1:59" s="154" customFormat="1" ht="15" customHeight="1">
      <c r="A1364" s="153" t="s">
        <v>5088</v>
      </c>
      <c r="B1364" s="169" t="s">
        <v>5207</v>
      </c>
      <c r="C1364" s="154" t="s">
        <v>5095</v>
      </c>
      <c r="D1364" s="170">
        <v>336</v>
      </c>
      <c r="E1364" s="154">
        <v>1</v>
      </c>
      <c r="F1364" s="154" t="s">
        <v>5090</v>
      </c>
      <c r="G1364" s="154" t="s">
        <v>5208</v>
      </c>
      <c r="J1364" s="154" t="s">
        <v>31</v>
      </c>
      <c r="K1364" s="154" t="s">
        <v>2426</v>
      </c>
      <c r="N1364" s="155"/>
      <c r="O1364" s="156"/>
      <c r="P1364" s="157"/>
      <c r="Q1364" s="158"/>
      <c r="R1364" s="159"/>
      <c r="S1364" s="160"/>
      <c r="T1364" s="161"/>
      <c r="U1364" s="156"/>
      <c r="V1364" s="162"/>
      <c r="W1364" s="163"/>
      <c r="X1364" s="164"/>
      <c r="Y1364" s="159"/>
      <c r="Z1364" s="161"/>
      <c r="AA1364" s="165"/>
      <c r="AD1364" s="154" t="s">
        <v>5209</v>
      </c>
      <c r="AE1364" s="155"/>
      <c r="AI1364" s="154" t="s">
        <v>5208</v>
      </c>
      <c r="AL1364" s="154" t="s">
        <v>31</v>
      </c>
      <c r="AM1364" s="154" t="s">
        <v>2426</v>
      </c>
      <c r="AP1364" s="155"/>
      <c r="AQ1364" s="156"/>
      <c r="AR1364" s="157"/>
      <c r="AS1364" s="158"/>
      <c r="AT1364" s="159"/>
      <c r="AU1364" s="161"/>
      <c r="AV1364" s="156"/>
      <c r="AW1364" s="162"/>
      <c r="AX1364" s="163"/>
      <c r="AY1364" s="164">
        <v>3</v>
      </c>
      <c r="AZ1364" s="159" t="s">
        <v>1073</v>
      </c>
      <c r="BA1364" s="161"/>
      <c r="BB1364" s="165"/>
      <c r="BE1364" s="154" t="s">
        <v>5209</v>
      </c>
      <c r="BF1364" s="155"/>
      <c r="BG1364" s="154" t="s">
        <v>5210</v>
      </c>
    </row>
    <row r="1365" spans="1:59" s="154" customFormat="1" ht="15" customHeight="1">
      <c r="A1365" s="153" t="s">
        <v>5088</v>
      </c>
      <c r="B1365" s="153" t="s">
        <v>5211</v>
      </c>
      <c r="C1365" s="154" t="s">
        <v>5095</v>
      </c>
      <c r="D1365" s="170">
        <v>337</v>
      </c>
      <c r="E1365" s="154">
        <v>1</v>
      </c>
      <c r="F1365" s="154" t="s">
        <v>5090</v>
      </c>
      <c r="G1365" s="154" t="s">
        <v>5212</v>
      </c>
      <c r="H1365" s="154" t="s">
        <v>5213</v>
      </c>
      <c r="J1365" s="154" t="s">
        <v>29</v>
      </c>
      <c r="K1365" s="154" t="s">
        <v>2426</v>
      </c>
      <c r="N1365" s="155"/>
      <c r="O1365" s="156"/>
      <c r="P1365" s="157"/>
      <c r="Q1365" s="158">
        <v>2</v>
      </c>
      <c r="R1365" s="159">
        <v>2</v>
      </c>
      <c r="S1365" s="160"/>
      <c r="T1365" s="161">
        <v>10</v>
      </c>
      <c r="U1365" s="156"/>
      <c r="V1365" s="162">
        <v>3</v>
      </c>
      <c r="W1365" s="163">
        <v>3</v>
      </c>
      <c r="X1365" s="164"/>
      <c r="Y1365" s="159"/>
      <c r="Z1365" s="161"/>
      <c r="AA1365" s="165">
        <v>2</v>
      </c>
      <c r="AD1365" s="154" t="s">
        <v>1691</v>
      </c>
      <c r="AE1365" s="155"/>
      <c r="AF1365" s="154" t="s">
        <v>5214</v>
      </c>
      <c r="AP1365" s="155"/>
      <c r="AQ1365" s="156"/>
      <c r="AR1365" s="157"/>
      <c r="AS1365" s="158"/>
      <c r="AT1365" s="159"/>
      <c r="AU1365" s="161"/>
      <c r="AV1365" s="156"/>
      <c r="AW1365" s="162"/>
      <c r="AX1365" s="163"/>
      <c r="AY1365" s="164"/>
      <c r="AZ1365" s="159"/>
      <c r="BA1365" s="161"/>
      <c r="BB1365" s="165"/>
      <c r="BF1365" s="155"/>
    </row>
    <row r="1366" spans="1:59" s="154" customFormat="1" ht="15" customHeight="1">
      <c r="A1366" s="153" t="s">
        <v>5088</v>
      </c>
      <c r="B1366" s="153" t="s">
        <v>5215</v>
      </c>
      <c r="C1366" s="154" t="s">
        <v>5095</v>
      </c>
      <c r="D1366" s="170">
        <v>338</v>
      </c>
      <c r="E1366" s="154">
        <v>2</v>
      </c>
      <c r="F1366" s="154" t="s">
        <v>5090</v>
      </c>
      <c r="G1366" s="154" t="s">
        <v>5216</v>
      </c>
      <c r="J1366" s="154" t="s">
        <v>29</v>
      </c>
      <c r="K1366" s="154" t="s">
        <v>2426</v>
      </c>
      <c r="N1366" s="155"/>
      <c r="O1366" s="156"/>
      <c r="P1366" s="157"/>
      <c r="Q1366" s="158">
        <v>4</v>
      </c>
      <c r="R1366" s="159">
        <v>4</v>
      </c>
      <c r="S1366" s="160"/>
      <c r="T1366" s="161">
        <v>5</v>
      </c>
      <c r="U1366" s="156"/>
      <c r="V1366" s="162">
        <v>1</v>
      </c>
      <c r="W1366" s="163">
        <v>1</v>
      </c>
      <c r="X1366" s="164"/>
      <c r="Y1366" s="159"/>
      <c r="Z1366" s="161"/>
      <c r="AA1366" s="165"/>
      <c r="AD1366" s="154" t="s">
        <v>5217</v>
      </c>
      <c r="AE1366" s="155"/>
      <c r="AF1366" s="154" t="s">
        <v>5218</v>
      </c>
      <c r="AP1366" s="155"/>
      <c r="AQ1366" s="156"/>
      <c r="AR1366" s="157"/>
      <c r="AS1366" s="158"/>
      <c r="AT1366" s="159"/>
      <c r="AU1366" s="161"/>
      <c r="AV1366" s="156"/>
      <c r="AW1366" s="162"/>
      <c r="AX1366" s="163"/>
      <c r="AY1366" s="164"/>
      <c r="AZ1366" s="159"/>
      <c r="BA1366" s="161"/>
      <c r="BB1366" s="165"/>
      <c r="BF1366" s="155"/>
    </row>
    <row r="1367" spans="1:59" s="154" customFormat="1" ht="15" customHeight="1">
      <c r="A1367" s="153" t="s">
        <v>5088</v>
      </c>
      <c r="B1367" s="153" t="s">
        <v>5219</v>
      </c>
      <c r="C1367" s="154" t="s">
        <v>5095</v>
      </c>
      <c r="D1367" s="170">
        <v>339</v>
      </c>
      <c r="E1367" s="154">
        <v>2</v>
      </c>
      <c r="F1367" s="154" t="s">
        <v>5090</v>
      </c>
      <c r="G1367" s="154" t="s">
        <v>5220</v>
      </c>
      <c r="J1367" s="154" t="s">
        <v>28</v>
      </c>
      <c r="K1367" s="154" t="s">
        <v>2426</v>
      </c>
      <c r="N1367" s="155"/>
      <c r="O1367" s="156"/>
      <c r="P1367" s="157"/>
      <c r="Q1367" s="158"/>
      <c r="R1367" s="159"/>
      <c r="S1367" s="160"/>
      <c r="T1367" s="161"/>
      <c r="U1367" s="156"/>
      <c r="V1367" s="162"/>
      <c r="W1367" s="163"/>
      <c r="X1367" s="164"/>
      <c r="Y1367" s="159"/>
      <c r="Z1367" s="161"/>
      <c r="AA1367" s="165"/>
      <c r="AD1367" s="154" t="s">
        <v>486</v>
      </c>
      <c r="AE1367" s="155"/>
      <c r="AF1367" s="154" t="s">
        <v>5221</v>
      </c>
      <c r="AP1367" s="155"/>
      <c r="AQ1367" s="156"/>
      <c r="AR1367" s="157"/>
      <c r="AS1367" s="158"/>
      <c r="AT1367" s="159"/>
      <c r="AU1367" s="161"/>
      <c r="AV1367" s="156"/>
      <c r="AW1367" s="162"/>
      <c r="AX1367" s="163"/>
      <c r="AY1367" s="164"/>
      <c r="AZ1367" s="159"/>
      <c r="BA1367" s="161"/>
      <c r="BB1367" s="165"/>
      <c r="BF1367" s="155"/>
    </row>
    <row r="1368" spans="1:59" s="154" customFormat="1" ht="15" customHeight="1">
      <c r="A1368" s="153" t="s">
        <v>5088</v>
      </c>
      <c r="B1368" s="153" t="s">
        <v>5222</v>
      </c>
      <c r="C1368" s="154" t="s">
        <v>5095</v>
      </c>
      <c r="D1368" s="170">
        <v>340</v>
      </c>
      <c r="E1368" s="154">
        <v>2</v>
      </c>
      <c r="F1368" s="154" t="s">
        <v>5090</v>
      </c>
      <c r="G1368" s="154" t="s">
        <v>5223</v>
      </c>
      <c r="J1368" s="154" t="s">
        <v>28</v>
      </c>
      <c r="K1368" s="154" t="s">
        <v>2426</v>
      </c>
      <c r="N1368" s="155"/>
      <c r="O1368" s="156"/>
      <c r="P1368" s="157"/>
      <c r="Q1368" s="158"/>
      <c r="R1368" s="159"/>
      <c r="S1368" s="160"/>
      <c r="T1368" s="161"/>
      <c r="U1368" s="156"/>
      <c r="V1368" s="162"/>
      <c r="W1368" s="163"/>
      <c r="X1368" s="164"/>
      <c r="Y1368" s="159"/>
      <c r="Z1368" s="161"/>
      <c r="AA1368" s="165"/>
      <c r="AD1368" s="154" t="s">
        <v>486</v>
      </c>
      <c r="AE1368" s="155"/>
      <c r="AF1368" s="154" t="s">
        <v>5224</v>
      </c>
      <c r="AP1368" s="155"/>
      <c r="AQ1368" s="156"/>
      <c r="AR1368" s="157"/>
      <c r="AS1368" s="158"/>
      <c r="AT1368" s="159"/>
      <c r="AU1368" s="161"/>
      <c r="AV1368" s="156"/>
      <c r="AW1368" s="162"/>
      <c r="AX1368" s="163"/>
      <c r="AY1368" s="164"/>
      <c r="AZ1368" s="159"/>
      <c r="BA1368" s="161"/>
      <c r="BB1368" s="165"/>
      <c r="BF1368" s="155"/>
    </row>
    <row r="1369" spans="1:59" s="154" customFormat="1" ht="15" customHeight="1">
      <c r="A1369" s="153" t="s">
        <v>5088</v>
      </c>
      <c r="B1369" s="153" t="s">
        <v>5225</v>
      </c>
      <c r="C1369" s="154" t="s">
        <v>5095</v>
      </c>
      <c r="D1369" s="155">
        <v>341</v>
      </c>
      <c r="E1369" s="154">
        <v>3</v>
      </c>
      <c r="F1369" s="154" t="s">
        <v>5090</v>
      </c>
      <c r="G1369" s="154" t="s">
        <v>5226</v>
      </c>
      <c r="J1369" s="154" t="s">
        <v>28</v>
      </c>
      <c r="K1369" s="154" t="s">
        <v>2426</v>
      </c>
      <c r="N1369" s="155"/>
      <c r="O1369" s="156"/>
      <c r="P1369" s="157"/>
      <c r="Q1369" s="158"/>
      <c r="R1369" s="159"/>
      <c r="S1369" s="160"/>
      <c r="T1369" s="161"/>
      <c r="U1369" s="156"/>
      <c r="V1369" s="162"/>
      <c r="W1369" s="163"/>
      <c r="X1369" s="164"/>
      <c r="Y1369" s="159"/>
      <c r="Z1369" s="161"/>
      <c r="AA1369" s="165"/>
      <c r="AD1369" s="154" t="s">
        <v>486</v>
      </c>
      <c r="AE1369" s="155"/>
      <c r="AF1369" s="154" t="s">
        <v>5227</v>
      </c>
      <c r="AP1369" s="155"/>
      <c r="AQ1369" s="156"/>
      <c r="AR1369" s="157"/>
      <c r="AS1369" s="158"/>
      <c r="AT1369" s="159"/>
      <c r="AU1369" s="161"/>
      <c r="AV1369" s="156"/>
      <c r="AW1369" s="162"/>
      <c r="AX1369" s="163"/>
      <c r="AY1369" s="164"/>
      <c r="AZ1369" s="159"/>
      <c r="BA1369" s="161"/>
      <c r="BB1369" s="165"/>
      <c r="BF1369" s="155"/>
    </row>
    <row r="1370" spans="1:59" s="154" customFormat="1" ht="15" customHeight="1">
      <c r="A1370" s="153" t="s">
        <v>5088</v>
      </c>
      <c r="B1370" s="153" t="s">
        <v>5228</v>
      </c>
      <c r="C1370" s="154" t="s">
        <v>5095</v>
      </c>
      <c r="D1370" s="155">
        <v>342</v>
      </c>
      <c r="E1370" s="154">
        <v>2</v>
      </c>
      <c r="F1370" s="154" t="s">
        <v>5090</v>
      </c>
      <c r="G1370" s="154" t="s">
        <v>5229</v>
      </c>
      <c r="J1370" s="154" t="s">
        <v>28</v>
      </c>
      <c r="K1370" s="154" t="s">
        <v>2426</v>
      </c>
      <c r="N1370" s="155"/>
      <c r="O1370" s="156"/>
      <c r="P1370" s="157"/>
      <c r="Q1370" s="158"/>
      <c r="R1370" s="159"/>
      <c r="S1370" s="160"/>
      <c r="T1370" s="161"/>
      <c r="U1370" s="156"/>
      <c r="V1370" s="162"/>
      <c r="W1370" s="163"/>
      <c r="X1370" s="164"/>
      <c r="Y1370" s="159"/>
      <c r="Z1370" s="161"/>
      <c r="AA1370" s="165"/>
      <c r="AD1370" s="154" t="s">
        <v>479</v>
      </c>
      <c r="AE1370" s="155"/>
      <c r="AF1370" s="154" t="s">
        <v>5230</v>
      </c>
      <c r="AP1370" s="155"/>
      <c r="AQ1370" s="156"/>
      <c r="AR1370" s="157"/>
      <c r="AS1370" s="158"/>
      <c r="AT1370" s="159"/>
      <c r="AU1370" s="161"/>
      <c r="AV1370" s="156"/>
      <c r="AW1370" s="162"/>
      <c r="AX1370" s="163"/>
      <c r="AY1370" s="164"/>
      <c r="AZ1370" s="159"/>
      <c r="BA1370" s="161"/>
      <c r="BB1370" s="165"/>
      <c r="BF1370" s="155"/>
    </row>
    <row r="1371" spans="1:59" s="154" customFormat="1" ht="15" customHeight="1">
      <c r="A1371" s="153" t="s">
        <v>5088</v>
      </c>
      <c r="B1371" s="183" t="s">
        <v>5231</v>
      </c>
      <c r="C1371" s="154" t="s">
        <v>5095</v>
      </c>
      <c r="D1371" s="155">
        <v>343</v>
      </c>
      <c r="E1371" s="154">
        <v>1</v>
      </c>
      <c r="F1371" s="154" t="s">
        <v>5090</v>
      </c>
      <c r="G1371" s="154" t="s">
        <v>3978</v>
      </c>
      <c r="H1371" s="154" t="s">
        <v>5232</v>
      </c>
      <c r="J1371" s="154" t="s">
        <v>257</v>
      </c>
      <c r="K1371" s="154" t="s">
        <v>26</v>
      </c>
      <c r="N1371" s="155">
        <v>2</v>
      </c>
      <c r="O1371" s="156"/>
      <c r="P1371" s="157"/>
      <c r="Q1371" s="158"/>
      <c r="R1371" s="159"/>
      <c r="S1371" s="160">
        <v>3</v>
      </c>
      <c r="T1371" s="161"/>
      <c r="U1371" s="156"/>
      <c r="V1371" s="162"/>
      <c r="W1371" s="163"/>
      <c r="X1371" s="164"/>
      <c r="Y1371" s="159"/>
      <c r="Z1371" s="161"/>
      <c r="AA1371" s="165"/>
      <c r="AB1371" s="154" t="s">
        <v>1996</v>
      </c>
      <c r="AD1371" s="154" t="s">
        <v>276</v>
      </c>
      <c r="AE1371" s="155"/>
      <c r="AF1371" s="154" t="s">
        <v>5233</v>
      </c>
      <c r="AP1371" s="155"/>
      <c r="AQ1371" s="156"/>
      <c r="AR1371" s="157"/>
      <c r="AS1371" s="158"/>
      <c r="AT1371" s="159"/>
      <c r="AU1371" s="161"/>
      <c r="AV1371" s="156"/>
      <c r="AW1371" s="162"/>
      <c r="AX1371" s="163"/>
      <c r="AY1371" s="164"/>
      <c r="AZ1371" s="159"/>
      <c r="BA1371" s="161"/>
      <c r="BB1371" s="165"/>
      <c r="BF1371" s="155"/>
    </row>
    <row r="1372" spans="1:59" s="154" customFormat="1" ht="15" customHeight="1">
      <c r="A1372" s="153" t="s">
        <v>5088</v>
      </c>
      <c r="B1372" s="154" t="s">
        <v>5234</v>
      </c>
      <c r="C1372" s="154" t="s">
        <v>5095</v>
      </c>
      <c r="D1372" s="155">
        <v>344</v>
      </c>
      <c r="E1372" s="154">
        <v>1</v>
      </c>
      <c r="F1372" s="154" t="s">
        <v>5235</v>
      </c>
      <c r="G1372" s="154" t="s">
        <v>5235</v>
      </c>
      <c r="J1372" s="154" t="s">
        <v>618</v>
      </c>
      <c r="K1372" s="154" t="s">
        <v>2426</v>
      </c>
      <c r="N1372" s="155"/>
      <c r="O1372" s="156"/>
      <c r="P1372" s="157"/>
      <c r="Q1372" s="158"/>
      <c r="R1372" s="159"/>
      <c r="S1372" s="160"/>
      <c r="T1372" s="161"/>
      <c r="U1372" s="156"/>
      <c r="V1372" s="162"/>
      <c r="W1372" s="163"/>
      <c r="X1372" s="164"/>
      <c r="Y1372" s="159"/>
      <c r="Z1372" s="161"/>
      <c r="AA1372" s="165"/>
      <c r="AE1372" s="155"/>
      <c r="AF1372" s="154" t="s">
        <v>5236</v>
      </c>
      <c r="AI1372" s="154" t="s">
        <v>5235</v>
      </c>
      <c r="AL1372" s="154" t="s">
        <v>618</v>
      </c>
      <c r="AM1372" s="154" t="s">
        <v>2426</v>
      </c>
      <c r="AP1372" s="155"/>
      <c r="AQ1372" s="156"/>
      <c r="AR1372" s="157"/>
      <c r="AS1372" s="158"/>
      <c r="AT1372" s="159"/>
      <c r="AU1372" s="161"/>
      <c r="AV1372" s="156"/>
      <c r="AW1372" s="162"/>
      <c r="AX1372" s="163"/>
      <c r="AY1372" s="164"/>
      <c r="AZ1372" s="159"/>
      <c r="BA1372" s="161"/>
      <c r="BB1372" s="165"/>
      <c r="BF1372" s="155"/>
      <c r="BG1372" s="154" t="s">
        <v>5237</v>
      </c>
    </row>
    <row r="1373" spans="1:59" s="154" customFormat="1" ht="15" customHeight="1">
      <c r="A1373" s="153" t="s">
        <v>5088</v>
      </c>
      <c r="B1373" s="154" t="s">
        <v>5238</v>
      </c>
      <c r="C1373" s="154" t="s">
        <v>5095</v>
      </c>
      <c r="D1373" s="155">
        <v>345</v>
      </c>
      <c r="E1373" s="154">
        <v>1</v>
      </c>
      <c r="F1373" s="154" t="s">
        <v>5235</v>
      </c>
      <c r="G1373" s="154" t="s">
        <v>5239</v>
      </c>
      <c r="J1373" s="154" t="s">
        <v>621</v>
      </c>
      <c r="K1373" s="154" t="s">
        <v>2426</v>
      </c>
      <c r="N1373" s="155"/>
      <c r="O1373" s="156"/>
      <c r="P1373" s="157"/>
      <c r="Q1373" s="158"/>
      <c r="R1373" s="159"/>
      <c r="S1373" s="160"/>
      <c r="T1373" s="161"/>
      <c r="U1373" s="156"/>
      <c r="V1373" s="162"/>
      <c r="W1373" s="163"/>
      <c r="X1373" s="164"/>
      <c r="Y1373" s="159" t="s">
        <v>1112</v>
      </c>
      <c r="Z1373" s="161"/>
      <c r="AA1373" s="165"/>
      <c r="AE1373" s="155"/>
      <c r="AF1373" s="154" t="s">
        <v>3936</v>
      </c>
      <c r="AI1373" s="154" t="s">
        <v>5239</v>
      </c>
      <c r="AJ1373" s="171"/>
      <c r="AL1373" s="154" t="s">
        <v>621</v>
      </c>
      <c r="AM1373" s="154" t="s">
        <v>2426</v>
      </c>
      <c r="AP1373" s="155"/>
      <c r="AQ1373" s="156"/>
      <c r="AR1373" s="157"/>
      <c r="AS1373" s="158"/>
      <c r="AT1373" s="159"/>
      <c r="AU1373" s="161"/>
      <c r="AV1373" s="156"/>
      <c r="AW1373" s="162"/>
      <c r="AX1373" s="163"/>
      <c r="AY1373" s="164"/>
      <c r="AZ1373" s="159"/>
      <c r="BA1373" s="161"/>
      <c r="BB1373" s="165"/>
      <c r="BF1373" s="155"/>
      <c r="BG1373" s="154" t="s">
        <v>5240</v>
      </c>
    </row>
    <row r="1374" spans="1:59" s="154" customFormat="1" ht="15" customHeight="1">
      <c r="A1374" s="153" t="s">
        <v>5088</v>
      </c>
      <c r="B1374" s="154" t="s">
        <v>5241</v>
      </c>
      <c r="C1374" s="154" t="s">
        <v>5095</v>
      </c>
      <c r="D1374" s="155">
        <v>346</v>
      </c>
      <c r="E1374" s="154">
        <v>1</v>
      </c>
      <c r="F1374" s="154" t="s">
        <v>5235</v>
      </c>
      <c r="G1374" s="154" t="s">
        <v>5242</v>
      </c>
      <c r="J1374" s="154" t="s">
        <v>621</v>
      </c>
      <c r="K1374" s="154" t="s">
        <v>2426</v>
      </c>
      <c r="N1374" s="155"/>
      <c r="O1374" s="156"/>
      <c r="P1374" s="157"/>
      <c r="Q1374" s="158"/>
      <c r="R1374" s="159"/>
      <c r="S1374" s="160"/>
      <c r="T1374" s="161"/>
      <c r="U1374" s="156"/>
      <c r="V1374" s="162"/>
      <c r="W1374" s="163"/>
      <c r="X1374" s="164"/>
      <c r="Y1374" s="159" t="s">
        <v>1111</v>
      </c>
      <c r="Z1374" s="161"/>
      <c r="AA1374" s="165"/>
      <c r="AE1374" s="155"/>
      <c r="AF1374" s="154" t="s">
        <v>5243</v>
      </c>
      <c r="AI1374" s="154" t="s">
        <v>5242</v>
      </c>
      <c r="AL1374" s="154" t="s">
        <v>621</v>
      </c>
      <c r="AM1374" s="154" t="s">
        <v>2426</v>
      </c>
      <c r="AP1374" s="155"/>
      <c r="AQ1374" s="156"/>
      <c r="AR1374" s="157"/>
      <c r="AS1374" s="158"/>
      <c r="AT1374" s="159"/>
      <c r="AU1374" s="161"/>
      <c r="AV1374" s="156"/>
      <c r="AW1374" s="162"/>
      <c r="AX1374" s="163"/>
      <c r="AY1374" s="164"/>
      <c r="AZ1374" s="159"/>
      <c r="BA1374" s="161"/>
      <c r="BB1374" s="165"/>
      <c r="BF1374" s="155"/>
      <c r="BG1374" s="154" t="s">
        <v>5244</v>
      </c>
    </row>
    <row r="1375" spans="1:59" s="154" customFormat="1" ht="15" customHeight="1">
      <c r="A1375" s="153" t="s">
        <v>5088</v>
      </c>
      <c r="B1375" s="153" t="s">
        <v>5245</v>
      </c>
      <c r="C1375" s="154" t="s">
        <v>5095</v>
      </c>
      <c r="D1375" s="155">
        <v>347</v>
      </c>
      <c r="E1375" s="154">
        <v>1</v>
      </c>
      <c r="F1375" s="154" t="s">
        <v>5235</v>
      </c>
      <c r="G1375" s="154" t="s">
        <v>5246</v>
      </c>
      <c r="J1375" s="154" t="s">
        <v>621</v>
      </c>
      <c r="K1375" s="154" t="s">
        <v>2426</v>
      </c>
      <c r="N1375" s="155"/>
      <c r="O1375" s="156"/>
      <c r="P1375" s="157"/>
      <c r="Q1375" s="158"/>
      <c r="R1375" s="159"/>
      <c r="S1375" s="160"/>
      <c r="T1375" s="161"/>
      <c r="U1375" s="156"/>
      <c r="V1375" s="162"/>
      <c r="W1375" s="163"/>
      <c r="X1375" s="164"/>
      <c r="Y1375" s="159">
        <v>0</v>
      </c>
      <c r="Z1375" s="161"/>
      <c r="AA1375" s="165"/>
      <c r="AE1375" s="155"/>
      <c r="AF1375" s="154" t="s">
        <v>5247</v>
      </c>
      <c r="AI1375" s="154" t="s">
        <v>5246</v>
      </c>
      <c r="AL1375" s="154" t="s">
        <v>621</v>
      </c>
      <c r="AM1375" s="154" t="s">
        <v>2426</v>
      </c>
      <c r="AP1375" s="155"/>
      <c r="AQ1375" s="156"/>
      <c r="AR1375" s="157"/>
      <c r="AS1375" s="158"/>
      <c r="AT1375" s="159"/>
      <c r="AU1375" s="161"/>
      <c r="AV1375" s="156"/>
      <c r="AW1375" s="162"/>
      <c r="AX1375" s="163"/>
      <c r="AY1375" s="164"/>
      <c r="AZ1375" s="159"/>
      <c r="BA1375" s="161"/>
      <c r="BB1375" s="165"/>
      <c r="BF1375" s="155"/>
      <c r="BG1375" s="154" t="s">
        <v>5248</v>
      </c>
    </row>
    <row r="1376" spans="1:59" s="154" customFormat="1" ht="15" customHeight="1">
      <c r="A1376" s="168" t="s">
        <v>5089</v>
      </c>
      <c r="B1376" s="153" t="s">
        <v>5249</v>
      </c>
      <c r="C1376" s="154" t="s">
        <v>5250</v>
      </c>
      <c r="D1376" s="155">
        <v>1</v>
      </c>
      <c r="E1376" s="154">
        <v>1</v>
      </c>
      <c r="F1376" s="154" t="s">
        <v>5091</v>
      </c>
      <c r="G1376" s="154" t="s">
        <v>5091</v>
      </c>
      <c r="J1376" s="154" t="s">
        <v>618</v>
      </c>
      <c r="K1376" s="154" t="s">
        <v>2426</v>
      </c>
      <c r="N1376" s="155"/>
      <c r="O1376" s="156"/>
      <c r="P1376" s="157"/>
      <c r="Q1376" s="158"/>
      <c r="R1376" s="159"/>
      <c r="S1376" s="160"/>
      <c r="T1376" s="161"/>
      <c r="U1376" s="156"/>
      <c r="V1376" s="162"/>
      <c r="W1376" s="163"/>
      <c r="X1376" s="164"/>
      <c r="Y1376" s="159"/>
      <c r="Z1376" s="161"/>
      <c r="AA1376" s="165"/>
      <c r="AE1376" s="155"/>
      <c r="AF1376" s="154" t="s">
        <v>5251</v>
      </c>
      <c r="AI1376" s="154" t="s">
        <v>5091</v>
      </c>
      <c r="AL1376" s="154" t="s">
        <v>618</v>
      </c>
      <c r="AM1376" s="154" t="s">
        <v>2426</v>
      </c>
      <c r="AP1376" s="155"/>
      <c r="AQ1376" s="156"/>
      <c r="AR1376" s="157"/>
      <c r="AS1376" s="158"/>
      <c r="AT1376" s="159"/>
      <c r="AU1376" s="161"/>
      <c r="AV1376" s="156"/>
      <c r="AW1376" s="162"/>
      <c r="AX1376" s="163"/>
      <c r="AY1376" s="164"/>
      <c r="AZ1376" s="159"/>
      <c r="BA1376" s="161"/>
      <c r="BB1376" s="165"/>
      <c r="BF1376" s="155"/>
      <c r="BG1376" s="154" t="s">
        <v>5252</v>
      </c>
    </row>
    <row r="1377" spans="1:59" s="154" customFormat="1" ht="15" customHeight="1">
      <c r="A1377" s="168" t="s">
        <v>5089</v>
      </c>
      <c r="B1377" s="153" t="s">
        <v>5253</v>
      </c>
      <c r="C1377" s="154" t="s">
        <v>5250</v>
      </c>
      <c r="D1377" s="155">
        <v>2</v>
      </c>
      <c r="E1377" s="154">
        <v>1</v>
      </c>
      <c r="F1377" s="154" t="s">
        <v>5091</v>
      </c>
      <c r="G1377" s="154" t="s">
        <v>2646</v>
      </c>
      <c r="J1377" s="154" t="s">
        <v>619</v>
      </c>
      <c r="K1377" s="154" t="s">
        <v>2426</v>
      </c>
      <c r="L1377" s="154">
        <v>1</v>
      </c>
      <c r="N1377" s="155"/>
      <c r="O1377" s="156"/>
      <c r="P1377" s="157"/>
      <c r="Q1377" s="158"/>
      <c r="R1377" s="159"/>
      <c r="S1377" s="160"/>
      <c r="T1377" s="161"/>
      <c r="U1377" s="156"/>
      <c r="V1377" s="162"/>
      <c r="W1377" s="163"/>
      <c r="X1377" s="164"/>
      <c r="Y1377" s="159"/>
      <c r="Z1377" s="161">
        <v>6</v>
      </c>
      <c r="AA1377" s="165"/>
      <c r="AE1377" s="155"/>
      <c r="AF1377" s="154" t="s">
        <v>5254</v>
      </c>
      <c r="AI1377" s="154" t="s">
        <v>5255</v>
      </c>
      <c r="AL1377" s="154" t="s">
        <v>619</v>
      </c>
      <c r="AM1377" s="154" t="s">
        <v>2426</v>
      </c>
      <c r="AN1377" s="154">
        <v>1</v>
      </c>
      <c r="AP1377" s="155"/>
      <c r="AQ1377" s="156"/>
      <c r="AR1377" s="157"/>
      <c r="AS1377" s="158"/>
      <c r="AT1377" s="159"/>
      <c r="AU1377" s="161"/>
      <c r="AV1377" s="156"/>
      <c r="AW1377" s="162"/>
      <c r="AX1377" s="163"/>
      <c r="AY1377" s="164"/>
      <c r="AZ1377" s="159"/>
      <c r="BA1377" s="161"/>
      <c r="BB1377" s="165"/>
      <c r="BF1377" s="155"/>
      <c r="BG1377" s="154" t="s">
        <v>5256</v>
      </c>
    </row>
    <row r="1378" spans="1:59" s="154" customFormat="1" ht="15" customHeight="1">
      <c r="A1378" s="168" t="s">
        <v>5089</v>
      </c>
      <c r="B1378" s="23" t="s">
        <v>5257</v>
      </c>
      <c r="C1378" s="154" t="s">
        <v>5250</v>
      </c>
      <c r="D1378" s="155">
        <v>3</v>
      </c>
      <c r="E1378" s="154">
        <v>1</v>
      </c>
      <c r="F1378" s="154" t="s">
        <v>5091</v>
      </c>
      <c r="G1378" s="154" t="s">
        <v>2646</v>
      </c>
      <c r="J1378" s="154" t="s">
        <v>619</v>
      </c>
      <c r="K1378" s="154" t="s">
        <v>2426</v>
      </c>
      <c r="L1378" s="154">
        <v>1</v>
      </c>
      <c r="N1378" s="155"/>
      <c r="O1378" s="156"/>
      <c r="P1378" s="157"/>
      <c r="Q1378" s="158"/>
      <c r="R1378" s="159"/>
      <c r="S1378" s="160"/>
      <c r="T1378" s="161"/>
      <c r="U1378" s="156"/>
      <c r="V1378" s="162"/>
      <c r="W1378" s="163"/>
      <c r="X1378" s="164"/>
      <c r="Y1378" s="159"/>
      <c r="Z1378" s="161">
        <v>6</v>
      </c>
      <c r="AA1378" s="165"/>
      <c r="AE1378" s="155"/>
      <c r="AI1378" s="154" t="s">
        <v>5255</v>
      </c>
      <c r="AL1378" s="154" t="s">
        <v>619</v>
      </c>
      <c r="AM1378" s="154" t="s">
        <v>2426</v>
      </c>
      <c r="AN1378" s="154">
        <v>1</v>
      </c>
      <c r="AP1378" s="155"/>
      <c r="AQ1378" s="156"/>
      <c r="AR1378" s="157"/>
      <c r="AS1378" s="158"/>
      <c r="AT1378" s="159"/>
      <c r="AU1378" s="161"/>
      <c r="AV1378" s="156"/>
      <c r="AW1378" s="162"/>
      <c r="AX1378" s="163"/>
      <c r="AY1378" s="164"/>
      <c r="AZ1378" s="159"/>
      <c r="BA1378" s="161"/>
      <c r="BB1378" s="165"/>
      <c r="BF1378" s="155"/>
      <c r="BG1378" s="154" t="s">
        <v>5256</v>
      </c>
    </row>
    <row r="1379" spans="1:59" s="154" customFormat="1" ht="15" customHeight="1">
      <c r="A1379" s="168" t="s">
        <v>5089</v>
      </c>
      <c r="B1379" s="23" t="s">
        <v>5258</v>
      </c>
      <c r="C1379" s="154" t="s">
        <v>5250</v>
      </c>
      <c r="D1379" s="155">
        <v>4</v>
      </c>
      <c r="E1379" s="154">
        <v>1</v>
      </c>
      <c r="F1379" s="154" t="s">
        <v>5091</v>
      </c>
      <c r="G1379" s="154" t="s">
        <v>5259</v>
      </c>
      <c r="J1379" s="154" t="s">
        <v>619</v>
      </c>
      <c r="K1379" s="154" t="s">
        <v>2426</v>
      </c>
      <c r="L1379" s="154">
        <v>2</v>
      </c>
      <c r="N1379" s="155"/>
      <c r="O1379" s="156"/>
      <c r="P1379" s="157"/>
      <c r="Q1379" s="158"/>
      <c r="R1379" s="159"/>
      <c r="S1379" s="160"/>
      <c r="T1379" s="161"/>
      <c r="U1379" s="156"/>
      <c r="V1379" s="162"/>
      <c r="W1379" s="163"/>
      <c r="X1379" s="164"/>
      <c r="Y1379" s="159"/>
      <c r="Z1379" s="161">
        <v>7</v>
      </c>
      <c r="AA1379" s="165"/>
      <c r="AE1379" s="155"/>
      <c r="AF1379" s="154" t="s">
        <v>5260</v>
      </c>
      <c r="AI1379" s="154" t="s">
        <v>5261</v>
      </c>
      <c r="AL1379" s="154" t="s">
        <v>619</v>
      </c>
      <c r="AM1379" s="154" t="s">
        <v>2426</v>
      </c>
      <c r="AN1379" s="154">
        <v>2</v>
      </c>
      <c r="AP1379" s="155"/>
      <c r="AQ1379" s="156"/>
      <c r="AR1379" s="157"/>
      <c r="AS1379" s="158"/>
      <c r="AT1379" s="159"/>
      <c r="AU1379" s="161"/>
      <c r="AV1379" s="156"/>
      <c r="AW1379" s="162"/>
      <c r="AX1379" s="163"/>
      <c r="AY1379" s="164"/>
      <c r="AZ1379" s="159"/>
      <c r="BA1379" s="161"/>
      <c r="BB1379" s="165"/>
      <c r="BF1379" s="155"/>
      <c r="BG1379" s="154" t="s">
        <v>5262</v>
      </c>
    </row>
    <row r="1380" spans="1:59" s="154" customFormat="1" ht="15" customHeight="1">
      <c r="A1380" s="168" t="s">
        <v>5089</v>
      </c>
      <c r="B1380" s="23" t="s">
        <v>5263</v>
      </c>
      <c r="C1380" s="154" t="s">
        <v>5250</v>
      </c>
      <c r="D1380" s="155">
        <v>5</v>
      </c>
      <c r="E1380" s="154">
        <v>1</v>
      </c>
      <c r="F1380" s="154" t="s">
        <v>5091</v>
      </c>
      <c r="G1380" s="154" t="s">
        <v>5259</v>
      </c>
      <c r="J1380" s="154" t="s">
        <v>619</v>
      </c>
      <c r="K1380" s="154" t="s">
        <v>2426</v>
      </c>
      <c r="L1380" s="154">
        <v>2</v>
      </c>
      <c r="N1380" s="155"/>
      <c r="O1380" s="156"/>
      <c r="P1380" s="157"/>
      <c r="Q1380" s="158"/>
      <c r="R1380" s="159"/>
      <c r="S1380" s="160"/>
      <c r="T1380" s="161"/>
      <c r="U1380" s="156"/>
      <c r="V1380" s="162"/>
      <c r="W1380" s="163"/>
      <c r="X1380" s="164"/>
      <c r="Y1380" s="159"/>
      <c r="Z1380" s="161">
        <v>7</v>
      </c>
      <c r="AA1380" s="165"/>
      <c r="AE1380" s="155"/>
      <c r="AI1380" s="154" t="s">
        <v>5261</v>
      </c>
      <c r="AL1380" s="154" t="s">
        <v>619</v>
      </c>
      <c r="AM1380" s="154" t="s">
        <v>2426</v>
      </c>
      <c r="AN1380" s="154">
        <v>2</v>
      </c>
      <c r="AP1380" s="155"/>
      <c r="AQ1380" s="156"/>
      <c r="AR1380" s="157"/>
      <c r="AS1380" s="158"/>
      <c r="AT1380" s="159"/>
      <c r="AU1380" s="161"/>
      <c r="AV1380" s="156"/>
      <c r="AW1380" s="162"/>
      <c r="AX1380" s="163"/>
      <c r="AY1380" s="164"/>
      <c r="AZ1380" s="159"/>
      <c r="BA1380" s="161"/>
      <c r="BB1380" s="165"/>
      <c r="BF1380" s="155"/>
      <c r="BG1380" s="154" t="s">
        <v>5262</v>
      </c>
    </row>
    <row r="1381" spans="1:59" s="154" customFormat="1" ht="15" customHeight="1">
      <c r="A1381" s="168" t="s">
        <v>5089</v>
      </c>
      <c r="B1381" s="23" t="s">
        <v>5264</v>
      </c>
      <c r="C1381" s="154" t="s">
        <v>5250</v>
      </c>
      <c r="D1381" s="155">
        <v>6</v>
      </c>
      <c r="E1381" s="154">
        <v>1</v>
      </c>
      <c r="F1381" s="154" t="s">
        <v>5091</v>
      </c>
      <c r="G1381" s="154" t="s">
        <v>5265</v>
      </c>
      <c r="J1381" s="154" t="s">
        <v>619</v>
      </c>
      <c r="K1381" s="154" t="s">
        <v>2426</v>
      </c>
      <c r="L1381" s="154">
        <v>3</v>
      </c>
      <c r="N1381" s="155"/>
      <c r="O1381" s="156"/>
      <c r="P1381" s="157"/>
      <c r="Q1381" s="158"/>
      <c r="R1381" s="159"/>
      <c r="S1381" s="160"/>
      <c r="T1381" s="161"/>
      <c r="U1381" s="156"/>
      <c r="V1381" s="162"/>
      <c r="W1381" s="163"/>
      <c r="X1381" s="164"/>
      <c r="Y1381" s="159"/>
      <c r="Z1381" s="161">
        <v>7</v>
      </c>
      <c r="AA1381" s="165"/>
      <c r="AE1381" s="155"/>
      <c r="AF1381" s="154" t="s">
        <v>5266</v>
      </c>
      <c r="AI1381" s="154" t="s">
        <v>5267</v>
      </c>
      <c r="AL1381" s="154" t="s">
        <v>619</v>
      </c>
      <c r="AM1381" s="154" t="s">
        <v>2426</v>
      </c>
      <c r="AN1381" s="154">
        <v>3</v>
      </c>
      <c r="AP1381" s="155"/>
      <c r="AQ1381" s="156"/>
      <c r="AR1381" s="157"/>
      <c r="AS1381" s="158"/>
      <c r="AT1381" s="159"/>
      <c r="AU1381" s="161"/>
      <c r="AV1381" s="156"/>
      <c r="AW1381" s="162"/>
      <c r="AX1381" s="163"/>
      <c r="AY1381" s="164"/>
      <c r="AZ1381" s="159"/>
      <c r="BA1381" s="161"/>
      <c r="BB1381" s="165"/>
      <c r="BF1381" s="155"/>
      <c r="BG1381" s="154" t="s">
        <v>5268</v>
      </c>
    </row>
    <row r="1382" spans="1:59" s="154" customFormat="1" ht="15" customHeight="1">
      <c r="A1382" s="168" t="s">
        <v>5089</v>
      </c>
      <c r="B1382" s="23" t="s">
        <v>5269</v>
      </c>
      <c r="C1382" s="154" t="s">
        <v>5250</v>
      </c>
      <c r="D1382" s="155">
        <v>7</v>
      </c>
      <c r="E1382" s="154">
        <v>1</v>
      </c>
      <c r="F1382" s="154" t="s">
        <v>5091</v>
      </c>
      <c r="G1382" s="154" t="s">
        <v>5270</v>
      </c>
      <c r="J1382" s="154" t="s">
        <v>621</v>
      </c>
      <c r="K1382" s="154" t="s">
        <v>2426</v>
      </c>
      <c r="L1382" s="154">
        <v>1</v>
      </c>
      <c r="N1382" s="155"/>
      <c r="O1382" s="156"/>
      <c r="P1382" s="157"/>
      <c r="Q1382" s="158"/>
      <c r="R1382" s="159"/>
      <c r="S1382" s="160"/>
      <c r="T1382" s="161"/>
      <c r="U1382" s="156"/>
      <c r="V1382" s="162"/>
      <c r="W1382" s="163"/>
      <c r="X1382" s="164"/>
      <c r="Y1382" s="159" t="s">
        <v>1111</v>
      </c>
      <c r="Z1382" s="161"/>
      <c r="AA1382" s="165"/>
      <c r="AE1382" s="155"/>
      <c r="AF1382" s="154" t="s">
        <v>5271</v>
      </c>
      <c r="AI1382" s="154" t="s">
        <v>5272</v>
      </c>
      <c r="AL1382" s="154" t="s">
        <v>621</v>
      </c>
      <c r="AM1382" s="154" t="s">
        <v>2426</v>
      </c>
      <c r="AN1382" s="154">
        <v>1</v>
      </c>
      <c r="AP1382" s="155"/>
      <c r="AQ1382" s="156"/>
      <c r="AR1382" s="157"/>
      <c r="AS1382" s="158"/>
      <c r="AT1382" s="159"/>
      <c r="AU1382" s="161"/>
      <c r="AV1382" s="156"/>
      <c r="AW1382" s="162"/>
      <c r="AX1382" s="163"/>
      <c r="AY1382" s="164"/>
      <c r="AZ1382" s="159"/>
      <c r="BA1382" s="161"/>
      <c r="BB1382" s="165"/>
      <c r="BF1382" s="155"/>
      <c r="BG1382" s="154" t="s">
        <v>5273</v>
      </c>
    </row>
    <row r="1383" spans="1:59" s="154" customFormat="1" ht="15" customHeight="1">
      <c r="A1383" s="168" t="s">
        <v>5089</v>
      </c>
      <c r="B1383" s="23" t="s">
        <v>5274</v>
      </c>
      <c r="C1383" s="154" t="s">
        <v>5250</v>
      </c>
      <c r="D1383" s="155">
        <v>8</v>
      </c>
      <c r="E1383" s="154">
        <v>1</v>
      </c>
      <c r="F1383" s="154" t="s">
        <v>5091</v>
      </c>
      <c r="G1383" s="154" t="s">
        <v>5275</v>
      </c>
      <c r="J1383" s="154" t="s">
        <v>621</v>
      </c>
      <c r="K1383" s="154" t="s">
        <v>2426</v>
      </c>
      <c r="L1383" s="154">
        <v>1</v>
      </c>
      <c r="N1383" s="155"/>
      <c r="O1383" s="156"/>
      <c r="P1383" s="157"/>
      <c r="Q1383" s="158"/>
      <c r="R1383" s="159"/>
      <c r="S1383" s="160"/>
      <c r="T1383" s="161"/>
      <c r="U1383" s="156"/>
      <c r="V1383" s="162"/>
      <c r="W1383" s="163"/>
      <c r="X1383" s="164"/>
      <c r="Y1383" s="159" t="s">
        <v>1111</v>
      </c>
      <c r="Z1383" s="161"/>
      <c r="AA1383" s="165"/>
      <c r="AE1383" s="155"/>
      <c r="AF1383" s="154" t="s">
        <v>5276</v>
      </c>
      <c r="AI1383" s="154" t="s">
        <v>5277</v>
      </c>
      <c r="AL1383" s="154" t="s">
        <v>621</v>
      </c>
      <c r="AM1383" s="154" t="s">
        <v>2426</v>
      </c>
      <c r="AN1383" s="154">
        <v>1</v>
      </c>
      <c r="AP1383" s="155"/>
      <c r="AQ1383" s="156"/>
      <c r="AR1383" s="157"/>
      <c r="AS1383" s="158"/>
      <c r="AT1383" s="159"/>
      <c r="AU1383" s="161"/>
      <c r="AV1383" s="156"/>
      <c r="AW1383" s="162"/>
      <c r="AX1383" s="163"/>
      <c r="AY1383" s="164"/>
      <c r="AZ1383" s="159"/>
      <c r="BA1383" s="161"/>
      <c r="BB1383" s="165"/>
      <c r="BF1383" s="155"/>
      <c r="BG1383" s="154" t="s">
        <v>5278</v>
      </c>
    </row>
    <row r="1384" spans="1:59" s="154" customFormat="1" ht="15" customHeight="1">
      <c r="A1384" s="168" t="s">
        <v>5089</v>
      </c>
      <c r="B1384" s="23" t="s">
        <v>5279</v>
      </c>
      <c r="C1384" s="154" t="s">
        <v>5250</v>
      </c>
      <c r="D1384" s="155">
        <v>9</v>
      </c>
      <c r="E1384" s="154">
        <v>1</v>
      </c>
      <c r="F1384" s="154" t="s">
        <v>5091</v>
      </c>
      <c r="G1384" s="154" t="s">
        <v>5280</v>
      </c>
      <c r="J1384" s="154" t="s">
        <v>621</v>
      </c>
      <c r="K1384" s="154" t="s">
        <v>2426</v>
      </c>
      <c r="L1384" s="154">
        <v>1</v>
      </c>
      <c r="N1384" s="155"/>
      <c r="O1384" s="156"/>
      <c r="P1384" s="157"/>
      <c r="Q1384" s="158"/>
      <c r="R1384" s="159"/>
      <c r="S1384" s="160"/>
      <c r="T1384" s="161"/>
      <c r="U1384" s="156"/>
      <c r="V1384" s="162"/>
      <c r="W1384" s="163"/>
      <c r="X1384" s="164"/>
      <c r="Y1384" s="159" t="s">
        <v>38</v>
      </c>
      <c r="Z1384" s="161"/>
      <c r="AA1384" s="165"/>
      <c r="AE1384" s="155"/>
      <c r="AF1384" s="154" t="s">
        <v>5281</v>
      </c>
      <c r="AI1384" s="154" t="s">
        <v>5282</v>
      </c>
      <c r="AL1384" s="154" t="s">
        <v>621</v>
      </c>
      <c r="AM1384" s="154" t="s">
        <v>2426</v>
      </c>
      <c r="AN1384" s="154">
        <v>1</v>
      </c>
      <c r="AP1384" s="155"/>
      <c r="AQ1384" s="156"/>
      <c r="AR1384" s="157"/>
      <c r="AS1384" s="158"/>
      <c r="AT1384" s="159"/>
      <c r="AU1384" s="161"/>
      <c r="AV1384" s="156"/>
      <c r="AW1384" s="162"/>
      <c r="AX1384" s="163"/>
      <c r="AY1384" s="164"/>
      <c r="AZ1384" s="159"/>
      <c r="BA1384" s="161"/>
      <c r="BB1384" s="165"/>
      <c r="BF1384" s="155"/>
      <c r="BG1384" s="154" t="s">
        <v>5283</v>
      </c>
    </row>
    <row r="1385" spans="1:59" s="154" customFormat="1" ht="15" customHeight="1">
      <c r="A1385" s="168" t="s">
        <v>5089</v>
      </c>
      <c r="B1385" s="23" t="s">
        <v>5284</v>
      </c>
      <c r="C1385" s="154" t="s">
        <v>5250</v>
      </c>
      <c r="D1385" s="155">
        <v>10</v>
      </c>
      <c r="E1385" s="154">
        <v>1</v>
      </c>
      <c r="F1385" s="154" t="s">
        <v>5091</v>
      </c>
      <c r="G1385" s="154" t="s">
        <v>5280</v>
      </c>
      <c r="J1385" s="154" t="s">
        <v>621</v>
      </c>
      <c r="K1385" s="154" t="s">
        <v>2426</v>
      </c>
      <c r="L1385" s="154">
        <v>1</v>
      </c>
      <c r="N1385" s="155"/>
      <c r="O1385" s="156"/>
      <c r="P1385" s="157"/>
      <c r="Q1385" s="158"/>
      <c r="R1385" s="159"/>
      <c r="S1385" s="160"/>
      <c r="T1385" s="161"/>
      <c r="U1385" s="156"/>
      <c r="V1385" s="162"/>
      <c r="W1385" s="163"/>
      <c r="X1385" s="164"/>
      <c r="Y1385" s="159" t="s">
        <v>38</v>
      </c>
      <c r="Z1385" s="161"/>
      <c r="AA1385" s="165"/>
      <c r="AE1385" s="155"/>
      <c r="AF1385" s="154" t="s">
        <v>5285</v>
      </c>
      <c r="AI1385" s="154" t="s">
        <v>5282</v>
      </c>
      <c r="AL1385" s="154" t="s">
        <v>621</v>
      </c>
      <c r="AM1385" s="154" t="s">
        <v>2426</v>
      </c>
      <c r="AN1385" s="154">
        <v>1</v>
      </c>
      <c r="AP1385" s="155"/>
      <c r="AQ1385" s="156"/>
      <c r="AR1385" s="157"/>
      <c r="AS1385" s="158"/>
      <c r="AT1385" s="159"/>
      <c r="AU1385" s="161"/>
      <c r="AV1385" s="156"/>
      <c r="AW1385" s="162"/>
      <c r="AX1385" s="163"/>
      <c r="AY1385" s="164"/>
      <c r="AZ1385" s="159"/>
      <c r="BA1385" s="161"/>
      <c r="BB1385" s="165"/>
      <c r="BF1385" s="155"/>
      <c r="BG1385" s="154" t="s">
        <v>5286</v>
      </c>
    </row>
    <row r="1386" spans="1:59" s="154" customFormat="1" ht="15" customHeight="1">
      <c r="A1386" s="168" t="s">
        <v>5089</v>
      </c>
      <c r="B1386" s="23" t="s">
        <v>5287</v>
      </c>
      <c r="C1386" s="154" t="s">
        <v>5250</v>
      </c>
      <c r="D1386" s="155">
        <v>11</v>
      </c>
      <c r="E1386" s="154">
        <v>1</v>
      </c>
      <c r="F1386" s="154" t="s">
        <v>5091</v>
      </c>
      <c r="G1386" s="154" t="s">
        <v>5288</v>
      </c>
      <c r="J1386" s="154" t="s">
        <v>621</v>
      </c>
      <c r="K1386" s="154" t="s">
        <v>2426</v>
      </c>
      <c r="L1386" s="154">
        <v>2</v>
      </c>
      <c r="N1386" s="155"/>
      <c r="O1386" s="156"/>
      <c r="P1386" s="157"/>
      <c r="Q1386" s="158"/>
      <c r="R1386" s="159"/>
      <c r="S1386" s="160"/>
      <c r="T1386" s="161"/>
      <c r="U1386" s="156"/>
      <c r="V1386" s="162"/>
      <c r="W1386" s="163"/>
      <c r="X1386" s="164"/>
      <c r="Y1386" s="159">
        <v>0</v>
      </c>
      <c r="Z1386" s="161"/>
      <c r="AA1386" s="165"/>
      <c r="AE1386" s="155"/>
      <c r="AF1386" s="154" t="s">
        <v>5289</v>
      </c>
      <c r="AI1386" s="154" t="s">
        <v>5290</v>
      </c>
      <c r="AL1386" s="154" t="s">
        <v>621</v>
      </c>
      <c r="AM1386" s="154" t="s">
        <v>2426</v>
      </c>
      <c r="AN1386" s="154">
        <v>2</v>
      </c>
      <c r="AP1386" s="155"/>
      <c r="AQ1386" s="156"/>
      <c r="AR1386" s="157"/>
      <c r="AS1386" s="158"/>
      <c r="AT1386" s="159"/>
      <c r="AU1386" s="161"/>
      <c r="AV1386" s="156"/>
      <c r="AW1386" s="162"/>
      <c r="AX1386" s="163"/>
      <c r="AY1386" s="164"/>
      <c r="AZ1386" s="159"/>
      <c r="BA1386" s="161"/>
      <c r="BB1386" s="165"/>
      <c r="BF1386" s="155"/>
      <c r="BG1386" s="154" t="s">
        <v>5291</v>
      </c>
    </row>
    <row r="1387" spans="1:59" s="154" customFormat="1" ht="15" customHeight="1">
      <c r="A1387" s="168" t="s">
        <v>5089</v>
      </c>
      <c r="B1387" s="23" t="s">
        <v>5292</v>
      </c>
      <c r="C1387" s="154" t="s">
        <v>5250</v>
      </c>
      <c r="D1387" s="155">
        <v>12</v>
      </c>
      <c r="E1387" s="154">
        <v>1</v>
      </c>
      <c r="F1387" s="154" t="s">
        <v>5091</v>
      </c>
      <c r="G1387" s="154" t="s">
        <v>5293</v>
      </c>
      <c r="J1387" s="154" t="s">
        <v>621</v>
      </c>
      <c r="K1387" s="154" t="s">
        <v>2426</v>
      </c>
      <c r="L1387" s="154">
        <v>2</v>
      </c>
      <c r="N1387" s="155"/>
      <c r="O1387" s="156"/>
      <c r="P1387" s="157"/>
      <c r="Q1387" s="158"/>
      <c r="R1387" s="159"/>
      <c r="S1387" s="160"/>
      <c r="T1387" s="161"/>
      <c r="U1387" s="156"/>
      <c r="V1387" s="162"/>
      <c r="W1387" s="163"/>
      <c r="X1387" s="164"/>
      <c r="Y1387" s="159">
        <v>0</v>
      </c>
      <c r="Z1387" s="161"/>
      <c r="AA1387" s="165"/>
      <c r="AE1387" s="155"/>
      <c r="AF1387" s="154" t="s">
        <v>5294</v>
      </c>
      <c r="AI1387" s="154" t="s">
        <v>5295</v>
      </c>
      <c r="AL1387" s="154" t="s">
        <v>621</v>
      </c>
      <c r="AM1387" s="154" t="s">
        <v>2426</v>
      </c>
      <c r="AN1387" s="154">
        <v>2</v>
      </c>
      <c r="AP1387" s="155"/>
      <c r="AQ1387" s="156"/>
      <c r="AR1387" s="157"/>
      <c r="AS1387" s="158"/>
      <c r="AT1387" s="159"/>
      <c r="AU1387" s="161"/>
      <c r="AV1387" s="156"/>
      <c r="AW1387" s="162"/>
      <c r="AX1387" s="163"/>
      <c r="AY1387" s="164"/>
      <c r="AZ1387" s="159"/>
      <c r="BA1387" s="161"/>
      <c r="BB1387" s="165"/>
      <c r="BF1387" s="155"/>
      <c r="BG1387" s="154" t="s">
        <v>5296</v>
      </c>
    </row>
    <row r="1388" spans="1:59" s="154" customFormat="1" ht="15" customHeight="1">
      <c r="A1388" s="168" t="s">
        <v>5089</v>
      </c>
      <c r="B1388" s="23" t="s">
        <v>5297</v>
      </c>
      <c r="C1388" s="154" t="s">
        <v>5250</v>
      </c>
      <c r="D1388" s="155">
        <v>13</v>
      </c>
      <c r="E1388" s="154">
        <v>1</v>
      </c>
      <c r="F1388" s="154" t="s">
        <v>5091</v>
      </c>
      <c r="G1388" s="154" t="s">
        <v>5298</v>
      </c>
      <c r="J1388" s="154" t="s">
        <v>621</v>
      </c>
      <c r="K1388" s="154" t="s">
        <v>2426</v>
      </c>
      <c r="L1388" s="154">
        <v>2</v>
      </c>
      <c r="N1388" s="155"/>
      <c r="O1388" s="156"/>
      <c r="P1388" s="157"/>
      <c r="Q1388" s="158"/>
      <c r="R1388" s="159"/>
      <c r="S1388" s="160"/>
      <c r="T1388" s="161"/>
      <c r="U1388" s="156"/>
      <c r="V1388" s="162"/>
      <c r="W1388" s="163"/>
      <c r="X1388" s="164"/>
      <c r="Y1388" s="159">
        <v>0</v>
      </c>
      <c r="Z1388" s="161"/>
      <c r="AA1388" s="165"/>
      <c r="AE1388" s="155"/>
      <c r="AF1388" s="154" t="s">
        <v>5299</v>
      </c>
      <c r="AI1388" s="154" t="s">
        <v>5300</v>
      </c>
      <c r="AL1388" s="154" t="s">
        <v>621</v>
      </c>
      <c r="AM1388" s="154" t="s">
        <v>2426</v>
      </c>
      <c r="AN1388" s="154">
        <v>2</v>
      </c>
      <c r="AP1388" s="155"/>
      <c r="AQ1388" s="156"/>
      <c r="AR1388" s="157"/>
      <c r="AS1388" s="158"/>
      <c r="AT1388" s="159"/>
      <c r="AU1388" s="161"/>
      <c r="AV1388" s="156"/>
      <c r="AW1388" s="162"/>
      <c r="AX1388" s="163"/>
      <c r="AY1388" s="164"/>
      <c r="AZ1388" s="159"/>
      <c r="BA1388" s="161"/>
      <c r="BB1388" s="165"/>
      <c r="BF1388" s="155"/>
      <c r="BG1388" s="154" t="s">
        <v>5301</v>
      </c>
    </row>
    <row r="1389" spans="1:59" s="154" customFormat="1" ht="15" customHeight="1">
      <c r="A1389" s="168" t="s">
        <v>5089</v>
      </c>
      <c r="B1389" s="23" t="s">
        <v>5302</v>
      </c>
      <c r="C1389" s="154" t="s">
        <v>5250</v>
      </c>
      <c r="D1389" s="155">
        <v>14</v>
      </c>
      <c r="E1389" s="154">
        <v>1</v>
      </c>
      <c r="F1389" s="154" t="s">
        <v>5091</v>
      </c>
      <c r="G1389" s="154" t="s">
        <v>5303</v>
      </c>
      <c r="J1389" s="154" t="s">
        <v>621</v>
      </c>
      <c r="K1389" s="154" t="s">
        <v>2426</v>
      </c>
      <c r="L1389" s="154">
        <v>3</v>
      </c>
      <c r="N1389" s="155"/>
      <c r="O1389" s="156"/>
      <c r="P1389" s="157"/>
      <c r="Q1389" s="158"/>
      <c r="R1389" s="159"/>
      <c r="S1389" s="160"/>
      <c r="T1389" s="161"/>
      <c r="U1389" s="156"/>
      <c r="V1389" s="162"/>
      <c r="W1389" s="163"/>
      <c r="X1389" s="164"/>
      <c r="Y1389" s="159">
        <v>0</v>
      </c>
      <c r="Z1389" s="161"/>
      <c r="AA1389" s="165"/>
      <c r="AE1389" s="155"/>
      <c r="AF1389" s="154" t="s">
        <v>5304</v>
      </c>
      <c r="AI1389" s="154" t="s">
        <v>5305</v>
      </c>
      <c r="AL1389" s="154" t="s">
        <v>621</v>
      </c>
      <c r="AM1389" s="154" t="s">
        <v>2426</v>
      </c>
      <c r="AN1389" s="154">
        <v>3</v>
      </c>
      <c r="AP1389" s="155"/>
      <c r="AQ1389" s="156"/>
      <c r="AR1389" s="157"/>
      <c r="AS1389" s="158"/>
      <c r="AT1389" s="159"/>
      <c r="AU1389" s="161"/>
      <c r="AV1389" s="156"/>
      <c r="AW1389" s="162"/>
      <c r="AX1389" s="163"/>
      <c r="AY1389" s="164"/>
      <c r="AZ1389" s="159"/>
      <c r="BA1389" s="161"/>
      <c r="BB1389" s="165"/>
      <c r="BF1389" s="155"/>
      <c r="BG1389" s="154" t="s">
        <v>5306</v>
      </c>
    </row>
    <row r="1390" spans="1:59" s="154" customFormat="1" ht="15" customHeight="1">
      <c r="A1390" s="168" t="s">
        <v>5089</v>
      </c>
      <c r="B1390" s="23" t="s">
        <v>5307</v>
      </c>
      <c r="C1390" s="154" t="s">
        <v>5250</v>
      </c>
      <c r="D1390" s="155">
        <v>15</v>
      </c>
      <c r="E1390" s="154">
        <v>1</v>
      </c>
      <c r="F1390" s="154" t="s">
        <v>5091</v>
      </c>
      <c r="G1390" s="154" t="s">
        <v>5303</v>
      </c>
      <c r="J1390" s="154" t="s">
        <v>621</v>
      </c>
      <c r="K1390" s="154" t="s">
        <v>2426</v>
      </c>
      <c r="L1390" s="154">
        <v>3</v>
      </c>
      <c r="N1390" s="155"/>
      <c r="O1390" s="156"/>
      <c r="P1390" s="157"/>
      <c r="Q1390" s="158"/>
      <c r="R1390" s="159"/>
      <c r="S1390" s="160"/>
      <c r="T1390" s="161"/>
      <c r="U1390" s="156"/>
      <c r="V1390" s="162"/>
      <c r="W1390" s="163"/>
      <c r="X1390" s="164"/>
      <c r="Y1390" s="159">
        <v>0</v>
      </c>
      <c r="Z1390" s="161"/>
      <c r="AA1390" s="165"/>
      <c r="AE1390" s="155"/>
      <c r="AF1390" s="154" t="s">
        <v>5308</v>
      </c>
      <c r="AI1390" s="154" t="s">
        <v>5305</v>
      </c>
      <c r="AL1390" s="154" t="s">
        <v>621</v>
      </c>
      <c r="AM1390" s="154" t="s">
        <v>2426</v>
      </c>
      <c r="AN1390" s="154">
        <v>3</v>
      </c>
      <c r="AP1390" s="155"/>
      <c r="AQ1390" s="156"/>
      <c r="AR1390" s="157"/>
      <c r="AS1390" s="158"/>
      <c r="AT1390" s="159"/>
      <c r="AU1390" s="161"/>
      <c r="AV1390" s="156"/>
      <c r="AW1390" s="162"/>
      <c r="AX1390" s="163"/>
      <c r="AY1390" s="164"/>
      <c r="AZ1390" s="159"/>
      <c r="BA1390" s="161"/>
      <c r="BB1390" s="165"/>
      <c r="BF1390" s="155"/>
      <c r="BG1390" s="154" t="s">
        <v>5309</v>
      </c>
    </row>
    <row r="1391" spans="1:59" s="154" customFormat="1" ht="15" customHeight="1">
      <c r="A1391" s="168" t="s">
        <v>5089</v>
      </c>
      <c r="B1391" s="23" t="s">
        <v>5310</v>
      </c>
      <c r="C1391" s="154" t="s">
        <v>5250</v>
      </c>
      <c r="D1391" s="155">
        <v>16</v>
      </c>
      <c r="E1391" s="154">
        <v>1</v>
      </c>
      <c r="F1391" s="154" t="s">
        <v>5091</v>
      </c>
      <c r="G1391" s="154" t="s">
        <v>5311</v>
      </c>
      <c r="J1391" s="154" t="s">
        <v>31</v>
      </c>
      <c r="K1391" s="154" t="s">
        <v>2426</v>
      </c>
      <c r="N1391" s="155"/>
      <c r="O1391" s="156"/>
      <c r="P1391" s="157"/>
      <c r="Q1391" s="158"/>
      <c r="R1391" s="159"/>
      <c r="S1391" s="160"/>
      <c r="T1391" s="161"/>
      <c r="U1391" s="156"/>
      <c r="V1391" s="162"/>
      <c r="W1391" s="163"/>
      <c r="X1391" s="164"/>
      <c r="Y1391" s="159"/>
      <c r="Z1391" s="161"/>
      <c r="AA1391" s="165"/>
      <c r="AD1391" s="154" t="s">
        <v>5312</v>
      </c>
      <c r="AE1391" s="155"/>
      <c r="AI1391" s="154" t="s">
        <v>5311</v>
      </c>
      <c r="AJ1391" s="154" t="s">
        <v>5313</v>
      </c>
      <c r="AL1391" s="154" t="s">
        <v>31</v>
      </c>
      <c r="AM1391" s="154" t="s">
        <v>2426</v>
      </c>
      <c r="AP1391" s="155"/>
      <c r="AQ1391" s="156"/>
      <c r="AR1391" s="157"/>
      <c r="AS1391" s="158"/>
      <c r="AT1391" s="159"/>
      <c r="AU1391" s="161"/>
      <c r="AV1391" s="156"/>
      <c r="AW1391" s="162"/>
      <c r="AX1391" s="163"/>
      <c r="AY1391" s="164">
        <v>3</v>
      </c>
      <c r="AZ1391" s="159" t="s">
        <v>1112</v>
      </c>
      <c r="BA1391" s="161"/>
      <c r="BB1391" s="165"/>
      <c r="BE1391" s="154" t="s">
        <v>5312</v>
      </c>
      <c r="BF1391" s="155"/>
      <c r="BG1391" s="154" t="s">
        <v>5314</v>
      </c>
    </row>
    <row r="1392" spans="1:59" s="154" customFormat="1" ht="15" customHeight="1">
      <c r="A1392" s="168" t="s">
        <v>5089</v>
      </c>
      <c r="B1392" s="23" t="s">
        <v>5315</v>
      </c>
      <c r="C1392" s="154" t="s">
        <v>5250</v>
      </c>
      <c r="D1392" s="155">
        <v>17</v>
      </c>
      <c r="E1392" s="154">
        <v>1</v>
      </c>
      <c r="F1392" s="154" t="s">
        <v>5091</v>
      </c>
      <c r="G1392" s="154" t="s">
        <v>5311</v>
      </c>
      <c r="J1392" s="154" t="s">
        <v>31</v>
      </c>
      <c r="K1392" s="154" t="s">
        <v>2426</v>
      </c>
      <c r="N1392" s="155"/>
      <c r="O1392" s="156"/>
      <c r="P1392" s="157"/>
      <c r="Q1392" s="158"/>
      <c r="R1392" s="159"/>
      <c r="S1392" s="160"/>
      <c r="T1392" s="161"/>
      <c r="U1392" s="156"/>
      <c r="V1392" s="162"/>
      <c r="W1392" s="163"/>
      <c r="X1392" s="164"/>
      <c r="Y1392" s="159"/>
      <c r="Z1392" s="161"/>
      <c r="AA1392" s="165"/>
      <c r="AD1392" s="154" t="s">
        <v>5312</v>
      </c>
      <c r="AE1392" s="155"/>
      <c r="AI1392" s="154" t="s">
        <v>5311</v>
      </c>
      <c r="AJ1392" s="154" t="s">
        <v>5316</v>
      </c>
      <c r="AL1392" s="154" t="s">
        <v>31</v>
      </c>
      <c r="AM1392" s="154" t="s">
        <v>2426</v>
      </c>
      <c r="AP1392" s="155"/>
      <c r="AQ1392" s="156"/>
      <c r="AR1392" s="157"/>
      <c r="AS1392" s="158"/>
      <c r="AT1392" s="159"/>
      <c r="AU1392" s="161"/>
      <c r="AV1392" s="156"/>
      <c r="AW1392" s="162"/>
      <c r="AX1392" s="163"/>
      <c r="AY1392" s="164">
        <v>3</v>
      </c>
      <c r="AZ1392" s="159" t="s">
        <v>1112</v>
      </c>
      <c r="BA1392" s="161"/>
      <c r="BB1392" s="165"/>
      <c r="BE1392" s="154" t="s">
        <v>5312</v>
      </c>
      <c r="BF1392" s="155"/>
      <c r="BG1392" s="154" t="s">
        <v>5314</v>
      </c>
    </row>
    <row r="1393" spans="1:59" s="154" customFormat="1" ht="15" customHeight="1">
      <c r="A1393" s="168" t="s">
        <v>5089</v>
      </c>
      <c r="B1393" s="23" t="s">
        <v>5317</v>
      </c>
      <c r="C1393" s="154" t="s">
        <v>5250</v>
      </c>
      <c r="D1393" s="155">
        <v>18</v>
      </c>
      <c r="E1393" s="154">
        <v>1</v>
      </c>
      <c r="F1393" s="154" t="s">
        <v>5091</v>
      </c>
      <c r="G1393" s="154" t="s">
        <v>5311</v>
      </c>
      <c r="J1393" s="154" t="s">
        <v>31</v>
      </c>
      <c r="K1393" s="154" t="s">
        <v>2426</v>
      </c>
      <c r="N1393" s="155"/>
      <c r="O1393" s="156"/>
      <c r="P1393" s="157"/>
      <c r="Q1393" s="158"/>
      <c r="R1393" s="159"/>
      <c r="S1393" s="160"/>
      <c r="T1393" s="161"/>
      <c r="U1393" s="156"/>
      <c r="V1393" s="162"/>
      <c r="W1393" s="163"/>
      <c r="X1393" s="164"/>
      <c r="Y1393" s="159"/>
      <c r="Z1393" s="161"/>
      <c r="AA1393" s="165"/>
      <c r="AD1393" s="154" t="s">
        <v>5312</v>
      </c>
      <c r="AE1393" s="155"/>
      <c r="AI1393" s="154" t="s">
        <v>5311</v>
      </c>
      <c r="AJ1393" s="154" t="s">
        <v>5318</v>
      </c>
      <c r="AL1393" s="154" t="s">
        <v>31</v>
      </c>
      <c r="AM1393" s="154" t="s">
        <v>2426</v>
      </c>
      <c r="AP1393" s="155"/>
      <c r="AQ1393" s="156"/>
      <c r="AR1393" s="157"/>
      <c r="AS1393" s="158"/>
      <c r="AT1393" s="159"/>
      <c r="AU1393" s="161"/>
      <c r="AV1393" s="156"/>
      <c r="AW1393" s="162"/>
      <c r="AX1393" s="163"/>
      <c r="AY1393" s="164">
        <v>3</v>
      </c>
      <c r="AZ1393" s="159" t="s">
        <v>1112</v>
      </c>
      <c r="BA1393" s="161"/>
      <c r="BB1393" s="165"/>
      <c r="BE1393" s="154" t="s">
        <v>5312</v>
      </c>
      <c r="BF1393" s="155"/>
      <c r="BG1393" s="154" t="s">
        <v>5314</v>
      </c>
    </row>
    <row r="1394" spans="1:59" s="154" customFormat="1" ht="15" customHeight="1">
      <c r="A1394" s="168" t="s">
        <v>5089</v>
      </c>
      <c r="B1394" s="23" t="s">
        <v>5319</v>
      </c>
      <c r="C1394" s="154" t="s">
        <v>5250</v>
      </c>
      <c r="D1394" s="155">
        <v>19</v>
      </c>
      <c r="E1394" s="154">
        <v>1</v>
      </c>
      <c r="F1394" s="154" t="s">
        <v>5091</v>
      </c>
      <c r="G1394" s="154" t="s">
        <v>5320</v>
      </c>
      <c r="J1394" s="154" t="s">
        <v>31</v>
      </c>
      <c r="K1394" s="154" t="s">
        <v>2426</v>
      </c>
      <c r="N1394" s="155"/>
      <c r="O1394" s="156"/>
      <c r="P1394" s="157"/>
      <c r="Q1394" s="158"/>
      <c r="R1394" s="159"/>
      <c r="S1394" s="160"/>
      <c r="T1394" s="161"/>
      <c r="U1394" s="156"/>
      <c r="V1394" s="162"/>
      <c r="W1394" s="163"/>
      <c r="X1394" s="164"/>
      <c r="Y1394" s="159"/>
      <c r="Z1394" s="161"/>
      <c r="AA1394" s="165"/>
      <c r="AD1394" s="154" t="s">
        <v>5321</v>
      </c>
      <c r="AE1394" s="155"/>
      <c r="AI1394" s="154" t="s">
        <v>5320</v>
      </c>
      <c r="AL1394" s="154" t="s">
        <v>31</v>
      </c>
      <c r="AM1394" s="154" t="s">
        <v>2426</v>
      </c>
      <c r="AP1394" s="155"/>
      <c r="AQ1394" s="156"/>
      <c r="AR1394" s="157"/>
      <c r="AS1394" s="158"/>
      <c r="AT1394" s="159"/>
      <c r="AU1394" s="161"/>
      <c r="AV1394" s="156"/>
      <c r="AW1394" s="162"/>
      <c r="AX1394" s="163"/>
      <c r="AY1394" s="164">
        <v>1</v>
      </c>
      <c r="AZ1394" s="159" t="s">
        <v>1073</v>
      </c>
      <c r="BA1394" s="161"/>
      <c r="BB1394" s="165"/>
      <c r="BE1394" s="154" t="s">
        <v>5321</v>
      </c>
      <c r="BF1394" s="155"/>
      <c r="BG1394" s="154" t="s">
        <v>5322</v>
      </c>
    </row>
    <row r="1395" spans="1:59" s="154" customFormat="1" ht="15" customHeight="1">
      <c r="A1395" s="168" t="s">
        <v>5089</v>
      </c>
      <c r="B1395" s="23" t="s">
        <v>5323</v>
      </c>
      <c r="C1395" s="154" t="s">
        <v>5250</v>
      </c>
      <c r="D1395" s="155">
        <v>20</v>
      </c>
      <c r="E1395" s="154">
        <v>1</v>
      </c>
      <c r="F1395" s="154" t="s">
        <v>5091</v>
      </c>
      <c r="G1395" s="154" t="s">
        <v>5324</v>
      </c>
      <c r="J1395" s="154" t="s">
        <v>31</v>
      </c>
      <c r="K1395" s="154" t="s">
        <v>2426</v>
      </c>
      <c r="N1395" s="155"/>
      <c r="O1395" s="156"/>
      <c r="P1395" s="157"/>
      <c r="Q1395" s="158"/>
      <c r="R1395" s="159"/>
      <c r="S1395" s="160"/>
      <c r="T1395" s="161"/>
      <c r="U1395" s="156"/>
      <c r="V1395" s="162"/>
      <c r="W1395" s="163"/>
      <c r="X1395" s="164"/>
      <c r="Y1395" s="159"/>
      <c r="Z1395" s="161"/>
      <c r="AA1395" s="165"/>
      <c r="AD1395" s="154" t="s">
        <v>5325</v>
      </c>
      <c r="AE1395" s="155"/>
      <c r="AI1395" s="154" t="s">
        <v>5324</v>
      </c>
      <c r="AL1395" s="154" t="s">
        <v>31</v>
      </c>
      <c r="AM1395" s="154" t="s">
        <v>2426</v>
      </c>
      <c r="AP1395" s="155"/>
      <c r="AQ1395" s="156"/>
      <c r="AR1395" s="157"/>
      <c r="AS1395" s="158"/>
      <c r="AT1395" s="159"/>
      <c r="AU1395" s="161"/>
      <c r="AV1395" s="156"/>
      <c r="AW1395" s="162"/>
      <c r="AX1395" s="163"/>
      <c r="AY1395" s="164">
        <v>2</v>
      </c>
      <c r="AZ1395" s="159" t="s">
        <v>1073</v>
      </c>
      <c r="BA1395" s="161"/>
      <c r="BB1395" s="165"/>
      <c r="BE1395" s="154" t="s">
        <v>5325</v>
      </c>
      <c r="BF1395" s="155"/>
      <c r="BG1395" s="154" t="s">
        <v>5326</v>
      </c>
    </row>
    <row r="1396" spans="1:59" s="154" customFormat="1" ht="15" customHeight="1">
      <c r="A1396" s="168" t="s">
        <v>5089</v>
      </c>
      <c r="B1396" s="23" t="s">
        <v>5327</v>
      </c>
      <c r="C1396" s="154" t="s">
        <v>5250</v>
      </c>
      <c r="D1396" s="155">
        <v>21</v>
      </c>
      <c r="E1396" s="154">
        <v>1</v>
      </c>
      <c r="F1396" s="154" t="s">
        <v>5091</v>
      </c>
      <c r="G1396" s="154" t="s">
        <v>5324</v>
      </c>
      <c r="J1396" s="154" t="s">
        <v>31</v>
      </c>
      <c r="K1396" s="154" t="s">
        <v>2426</v>
      </c>
      <c r="N1396" s="155"/>
      <c r="O1396" s="156"/>
      <c r="P1396" s="157"/>
      <c r="Q1396" s="158"/>
      <c r="R1396" s="159"/>
      <c r="S1396" s="160"/>
      <c r="T1396" s="161"/>
      <c r="U1396" s="156"/>
      <c r="V1396" s="162"/>
      <c r="W1396" s="163"/>
      <c r="X1396" s="164"/>
      <c r="Y1396" s="159"/>
      <c r="Z1396" s="161"/>
      <c r="AA1396" s="165"/>
      <c r="AD1396" s="154" t="s">
        <v>5325</v>
      </c>
      <c r="AE1396" s="155"/>
      <c r="AI1396" s="154" t="s">
        <v>5324</v>
      </c>
      <c r="AL1396" s="154" t="s">
        <v>31</v>
      </c>
      <c r="AM1396" s="154" t="s">
        <v>2426</v>
      </c>
      <c r="AP1396" s="155"/>
      <c r="AQ1396" s="156"/>
      <c r="AR1396" s="157"/>
      <c r="AS1396" s="158"/>
      <c r="AT1396" s="159"/>
      <c r="AU1396" s="161"/>
      <c r="AV1396" s="156"/>
      <c r="AW1396" s="162"/>
      <c r="AX1396" s="163"/>
      <c r="AY1396" s="164">
        <v>2</v>
      </c>
      <c r="AZ1396" s="159" t="s">
        <v>1073</v>
      </c>
      <c r="BA1396" s="161"/>
      <c r="BB1396" s="165"/>
      <c r="BE1396" s="154" t="s">
        <v>5325</v>
      </c>
      <c r="BF1396" s="155"/>
      <c r="BG1396" s="154" t="s">
        <v>5328</v>
      </c>
    </row>
    <row r="1397" spans="1:59" s="154" customFormat="1" ht="15" customHeight="1">
      <c r="A1397" s="168" t="s">
        <v>5089</v>
      </c>
      <c r="B1397" s="23" t="s">
        <v>5329</v>
      </c>
      <c r="C1397" s="154" t="s">
        <v>5250</v>
      </c>
      <c r="D1397" s="155">
        <v>22</v>
      </c>
      <c r="E1397" s="154">
        <v>1</v>
      </c>
      <c r="F1397" s="154" t="s">
        <v>5091</v>
      </c>
      <c r="G1397" s="154" t="s">
        <v>5330</v>
      </c>
      <c r="J1397" s="154" t="s">
        <v>31</v>
      </c>
      <c r="K1397" s="154" t="s">
        <v>2426</v>
      </c>
      <c r="N1397" s="155"/>
      <c r="O1397" s="156"/>
      <c r="P1397" s="157"/>
      <c r="Q1397" s="158"/>
      <c r="R1397" s="159"/>
      <c r="S1397" s="160"/>
      <c r="T1397" s="161"/>
      <c r="U1397" s="156"/>
      <c r="V1397" s="162"/>
      <c r="W1397" s="163"/>
      <c r="X1397" s="164"/>
      <c r="Y1397" s="159"/>
      <c r="Z1397" s="161"/>
      <c r="AA1397" s="165"/>
      <c r="AD1397" s="154" t="s">
        <v>5325</v>
      </c>
      <c r="AE1397" s="155"/>
      <c r="AI1397" s="154" t="s">
        <v>5330</v>
      </c>
      <c r="AL1397" s="154" t="s">
        <v>31</v>
      </c>
      <c r="AM1397" s="154" t="s">
        <v>2426</v>
      </c>
      <c r="AP1397" s="155"/>
      <c r="AQ1397" s="156"/>
      <c r="AR1397" s="157"/>
      <c r="AS1397" s="158"/>
      <c r="AT1397" s="159"/>
      <c r="AU1397" s="161"/>
      <c r="AV1397" s="156"/>
      <c r="AW1397" s="162"/>
      <c r="AX1397" s="163"/>
      <c r="AY1397" s="164">
        <v>3</v>
      </c>
      <c r="AZ1397" s="159" t="s">
        <v>1111</v>
      </c>
      <c r="BA1397" s="161"/>
      <c r="BB1397" s="165"/>
      <c r="BE1397" s="154" t="s">
        <v>5325</v>
      </c>
      <c r="BF1397" s="155"/>
      <c r="BG1397" s="154" t="s">
        <v>5331</v>
      </c>
    </row>
    <row r="1398" spans="1:59" s="154" customFormat="1" ht="15" customHeight="1">
      <c r="A1398" s="168" t="s">
        <v>5089</v>
      </c>
      <c r="B1398" s="23" t="s">
        <v>5332</v>
      </c>
      <c r="C1398" s="154" t="s">
        <v>5250</v>
      </c>
      <c r="D1398" s="155">
        <v>23</v>
      </c>
      <c r="E1398" s="154">
        <v>1</v>
      </c>
      <c r="F1398" s="154" t="s">
        <v>5091</v>
      </c>
      <c r="G1398" s="154" t="s">
        <v>5330</v>
      </c>
      <c r="J1398" s="154" t="s">
        <v>31</v>
      </c>
      <c r="K1398" s="154" t="s">
        <v>2426</v>
      </c>
      <c r="N1398" s="155"/>
      <c r="O1398" s="156"/>
      <c r="P1398" s="157"/>
      <c r="Q1398" s="158"/>
      <c r="R1398" s="159"/>
      <c r="S1398" s="160"/>
      <c r="T1398" s="161"/>
      <c r="U1398" s="156"/>
      <c r="V1398" s="162"/>
      <c r="W1398" s="163"/>
      <c r="X1398" s="164"/>
      <c r="Y1398" s="159"/>
      <c r="Z1398" s="161"/>
      <c r="AA1398" s="165"/>
      <c r="AD1398" s="154" t="s">
        <v>5325</v>
      </c>
      <c r="AE1398" s="155"/>
      <c r="AI1398" s="154" t="s">
        <v>5330</v>
      </c>
      <c r="AL1398" s="154" t="s">
        <v>31</v>
      </c>
      <c r="AM1398" s="154" t="s">
        <v>2426</v>
      </c>
      <c r="AP1398" s="155"/>
      <c r="AQ1398" s="156"/>
      <c r="AR1398" s="157"/>
      <c r="AS1398" s="158"/>
      <c r="AT1398" s="159"/>
      <c r="AU1398" s="161"/>
      <c r="AV1398" s="156"/>
      <c r="AW1398" s="162"/>
      <c r="AX1398" s="163"/>
      <c r="AY1398" s="164">
        <v>3</v>
      </c>
      <c r="AZ1398" s="159" t="s">
        <v>1111</v>
      </c>
      <c r="BA1398" s="161"/>
      <c r="BB1398" s="165"/>
      <c r="BE1398" s="154" t="s">
        <v>5325</v>
      </c>
      <c r="BF1398" s="155"/>
      <c r="BG1398" s="154" t="s">
        <v>5333</v>
      </c>
    </row>
    <row r="1399" spans="1:59" s="154" customFormat="1" ht="15" customHeight="1">
      <c r="A1399" s="168" t="s">
        <v>5089</v>
      </c>
      <c r="B1399" s="23" t="s">
        <v>5334</v>
      </c>
      <c r="C1399" s="154" t="s">
        <v>5250</v>
      </c>
      <c r="D1399" s="155">
        <v>24</v>
      </c>
      <c r="E1399" s="154">
        <v>1</v>
      </c>
      <c r="F1399" s="154" t="s">
        <v>5091</v>
      </c>
      <c r="G1399" s="154" t="s">
        <v>5335</v>
      </c>
      <c r="J1399" s="154" t="s">
        <v>31</v>
      </c>
      <c r="K1399" s="154" t="s">
        <v>2426</v>
      </c>
      <c r="N1399" s="155"/>
      <c r="O1399" s="156"/>
      <c r="P1399" s="157"/>
      <c r="Q1399" s="158"/>
      <c r="R1399" s="159"/>
      <c r="S1399" s="160"/>
      <c r="T1399" s="161"/>
      <c r="U1399" s="156"/>
      <c r="V1399" s="162"/>
      <c r="W1399" s="163"/>
      <c r="X1399" s="164"/>
      <c r="Y1399" s="159"/>
      <c r="Z1399" s="161"/>
      <c r="AA1399" s="165"/>
      <c r="AD1399" s="154" t="s">
        <v>5321</v>
      </c>
      <c r="AE1399" s="155"/>
      <c r="AI1399" s="154" t="s">
        <v>5335</v>
      </c>
      <c r="AL1399" s="154" t="s">
        <v>31</v>
      </c>
      <c r="AM1399" s="154" t="s">
        <v>2426</v>
      </c>
      <c r="AP1399" s="155"/>
      <c r="AQ1399" s="156"/>
      <c r="AR1399" s="157"/>
      <c r="AS1399" s="158"/>
      <c r="AT1399" s="159"/>
      <c r="AU1399" s="161"/>
      <c r="AV1399" s="156"/>
      <c r="AW1399" s="162"/>
      <c r="AX1399" s="163"/>
      <c r="AY1399" s="164">
        <v>1</v>
      </c>
      <c r="AZ1399" s="159" t="s">
        <v>1073</v>
      </c>
      <c r="BA1399" s="161"/>
      <c r="BB1399" s="165"/>
      <c r="BE1399" s="154" t="s">
        <v>5321</v>
      </c>
      <c r="BF1399" s="155"/>
      <c r="BG1399" s="154" t="s">
        <v>5336</v>
      </c>
    </row>
    <row r="1400" spans="1:59" s="154" customFormat="1" ht="15" customHeight="1">
      <c r="A1400" s="168" t="s">
        <v>5089</v>
      </c>
      <c r="B1400" s="23" t="s">
        <v>5337</v>
      </c>
      <c r="C1400" s="154" t="s">
        <v>5250</v>
      </c>
      <c r="D1400" s="155">
        <v>25</v>
      </c>
      <c r="E1400" s="154">
        <v>1</v>
      </c>
      <c r="F1400" s="154" t="s">
        <v>5091</v>
      </c>
      <c r="G1400" s="154" t="s">
        <v>5338</v>
      </c>
      <c r="J1400" s="154" t="s">
        <v>31</v>
      </c>
      <c r="K1400" s="154" t="s">
        <v>2426</v>
      </c>
      <c r="N1400" s="155"/>
      <c r="O1400" s="156"/>
      <c r="P1400" s="157"/>
      <c r="Q1400" s="158"/>
      <c r="R1400" s="159"/>
      <c r="S1400" s="160"/>
      <c r="T1400" s="161"/>
      <c r="U1400" s="156"/>
      <c r="V1400" s="162"/>
      <c r="W1400" s="163"/>
      <c r="X1400" s="164"/>
      <c r="Y1400" s="159"/>
      <c r="Z1400" s="161"/>
      <c r="AA1400" s="165"/>
      <c r="AE1400" s="155"/>
      <c r="AI1400" s="154" t="s">
        <v>5338</v>
      </c>
      <c r="AJ1400" s="154" t="s">
        <v>5339</v>
      </c>
      <c r="AL1400" s="154" t="s">
        <v>31</v>
      </c>
      <c r="AM1400" s="154" t="s">
        <v>2426</v>
      </c>
      <c r="AP1400" s="155"/>
      <c r="AQ1400" s="156"/>
      <c r="AR1400" s="157"/>
      <c r="AS1400" s="158"/>
      <c r="AT1400" s="159"/>
      <c r="AU1400" s="161"/>
      <c r="AV1400" s="156"/>
      <c r="AW1400" s="162"/>
      <c r="AX1400" s="163"/>
      <c r="AY1400" s="164">
        <v>2</v>
      </c>
      <c r="AZ1400" s="159">
        <v>1</v>
      </c>
      <c r="BA1400" s="161"/>
      <c r="BB1400" s="165"/>
      <c r="BF1400" s="155"/>
      <c r="BG1400" s="154" t="s">
        <v>5340</v>
      </c>
    </row>
    <row r="1401" spans="1:59" s="154" customFormat="1" ht="15" customHeight="1">
      <c r="A1401" s="168" t="s">
        <v>5089</v>
      </c>
      <c r="B1401" s="23" t="s">
        <v>5341</v>
      </c>
      <c r="C1401" s="154" t="s">
        <v>5250</v>
      </c>
      <c r="D1401" s="155">
        <v>26</v>
      </c>
      <c r="E1401" s="154">
        <v>1</v>
      </c>
      <c r="F1401" s="154" t="s">
        <v>5091</v>
      </c>
      <c r="G1401" s="154" t="s">
        <v>5338</v>
      </c>
      <c r="J1401" s="154" t="s">
        <v>31</v>
      </c>
      <c r="K1401" s="154" t="s">
        <v>2426</v>
      </c>
      <c r="N1401" s="155"/>
      <c r="O1401" s="156"/>
      <c r="P1401" s="157"/>
      <c r="Q1401" s="158"/>
      <c r="R1401" s="159"/>
      <c r="S1401" s="160"/>
      <c r="T1401" s="161"/>
      <c r="U1401" s="156"/>
      <c r="V1401" s="162"/>
      <c r="W1401" s="163"/>
      <c r="X1401" s="164"/>
      <c r="Y1401" s="159"/>
      <c r="Z1401" s="161"/>
      <c r="AA1401" s="165"/>
      <c r="AE1401" s="155"/>
      <c r="AI1401" s="154" t="s">
        <v>5338</v>
      </c>
      <c r="AJ1401" s="154" t="s">
        <v>5342</v>
      </c>
      <c r="AL1401" s="154" t="s">
        <v>31</v>
      </c>
      <c r="AM1401" s="154" t="s">
        <v>2426</v>
      </c>
      <c r="AP1401" s="155"/>
      <c r="AQ1401" s="156"/>
      <c r="AR1401" s="157"/>
      <c r="AS1401" s="158"/>
      <c r="AT1401" s="159"/>
      <c r="AU1401" s="161"/>
      <c r="AV1401" s="156"/>
      <c r="AW1401" s="162"/>
      <c r="AX1401" s="163"/>
      <c r="AY1401" s="164">
        <v>2</v>
      </c>
      <c r="AZ1401" s="159">
        <v>1</v>
      </c>
      <c r="BA1401" s="161"/>
      <c r="BB1401" s="165"/>
      <c r="BF1401" s="155"/>
      <c r="BG1401" s="154" t="s">
        <v>5343</v>
      </c>
    </row>
    <row r="1402" spans="1:59" s="154" customFormat="1" ht="15" customHeight="1">
      <c r="A1402" s="168" t="s">
        <v>5089</v>
      </c>
      <c r="B1402" s="23" t="s">
        <v>5344</v>
      </c>
      <c r="C1402" s="154" t="s">
        <v>5250</v>
      </c>
      <c r="D1402" s="155">
        <v>27</v>
      </c>
      <c r="E1402" s="154">
        <v>1</v>
      </c>
      <c r="F1402" s="154" t="s">
        <v>5091</v>
      </c>
      <c r="G1402" s="154" t="s">
        <v>5338</v>
      </c>
      <c r="J1402" s="154" t="s">
        <v>31</v>
      </c>
      <c r="K1402" s="154" t="s">
        <v>2426</v>
      </c>
      <c r="N1402" s="155"/>
      <c r="O1402" s="156"/>
      <c r="P1402" s="157"/>
      <c r="Q1402" s="158"/>
      <c r="R1402" s="159"/>
      <c r="S1402" s="160"/>
      <c r="T1402" s="161"/>
      <c r="U1402" s="156"/>
      <c r="V1402" s="162"/>
      <c r="W1402" s="163"/>
      <c r="X1402" s="164"/>
      <c r="Y1402" s="159"/>
      <c r="Z1402" s="161"/>
      <c r="AA1402" s="165"/>
      <c r="AE1402" s="155"/>
      <c r="AI1402" s="154" t="s">
        <v>5338</v>
      </c>
      <c r="AJ1402" s="154" t="s">
        <v>5345</v>
      </c>
      <c r="AL1402" s="154" t="s">
        <v>31</v>
      </c>
      <c r="AM1402" s="154" t="s">
        <v>2426</v>
      </c>
      <c r="AP1402" s="155"/>
      <c r="AQ1402" s="156"/>
      <c r="AR1402" s="157"/>
      <c r="AS1402" s="158"/>
      <c r="AT1402" s="159"/>
      <c r="AU1402" s="161"/>
      <c r="AV1402" s="156"/>
      <c r="AW1402" s="162"/>
      <c r="AX1402" s="163"/>
      <c r="AY1402" s="164">
        <v>2</v>
      </c>
      <c r="AZ1402" s="159">
        <v>1</v>
      </c>
      <c r="BA1402" s="161"/>
      <c r="BB1402" s="165"/>
      <c r="BF1402" s="155"/>
      <c r="BG1402" s="154" t="s">
        <v>5346</v>
      </c>
    </row>
    <row r="1403" spans="1:59" s="154" customFormat="1" ht="15" customHeight="1">
      <c r="A1403" s="168" t="s">
        <v>5089</v>
      </c>
      <c r="B1403" s="23" t="s">
        <v>5347</v>
      </c>
      <c r="C1403" s="154" t="s">
        <v>5250</v>
      </c>
      <c r="D1403" s="155">
        <v>28</v>
      </c>
      <c r="E1403" s="154">
        <v>1</v>
      </c>
      <c r="F1403" s="154" t="s">
        <v>5091</v>
      </c>
      <c r="G1403" s="154" t="s">
        <v>5348</v>
      </c>
      <c r="J1403" s="154" t="s">
        <v>31</v>
      </c>
      <c r="K1403" s="154" t="s">
        <v>2426</v>
      </c>
      <c r="N1403" s="155"/>
      <c r="O1403" s="156"/>
      <c r="P1403" s="157"/>
      <c r="Q1403" s="158"/>
      <c r="R1403" s="159"/>
      <c r="S1403" s="160"/>
      <c r="T1403" s="161"/>
      <c r="U1403" s="156"/>
      <c r="V1403" s="162"/>
      <c r="W1403" s="163"/>
      <c r="X1403" s="164"/>
      <c r="Y1403" s="159"/>
      <c r="Z1403" s="161"/>
      <c r="AA1403" s="165"/>
      <c r="AD1403" s="154" t="s">
        <v>5321</v>
      </c>
      <c r="AE1403" s="155"/>
      <c r="AI1403" s="154" t="s">
        <v>5348</v>
      </c>
      <c r="AL1403" s="154" t="s">
        <v>31</v>
      </c>
      <c r="AM1403" s="154" t="s">
        <v>2426</v>
      </c>
      <c r="AP1403" s="155"/>
      <c r="AQ1403" s="156"/>
      <c r="AR1403" s="157"/>
      <c r="AS1403" s="158"/>
      <c r="AT1403" s="159"/>
      <c r="AU1403" s="161"/>
      <c r="AV1403" s="156"/>
      <c r="AW1403" s="162"/>
      <c r="AX1403" s="163"/>
      <c r="AY1403" s="164">
        <v>3</v>
      </c>
      <c r="AZ1403" s="159" t="s">
        <v>1073</v>
      </c>
      <c r="BA1403" s="161"/>
      <c r="BB1403" s="165"/>
      <c r="BE1403" s="154" t="s">
        <v>5321</v>
      </c>
      <c r="BF1403" s="155"/>
      <c r="BG1403" s="154" t="s">
        <v>5349</v>
      </c>
    </row>
    <row r="1404" spans="1:59" s="154" customFormat="1" ht="15" customHeight="1">
      <c r="A1404" s="168" t="s">
        <v>5089</v>
      </c>
      <c r="B1404" s="23" t="s">
        <v>5350</v>
      </c>
      <c r="C1404" s="154" t="s">
        <v>5250</v>
      </c>
      <c r="D1404" s="155">
        <v>29</v>
      </c>
      <c r="E1404" s="154">
        <v>1</v>
      </c>
      <c r="F1404" s="154" t="s">
        <v>5091</v>
      </c>
      <c r="G1404" s="154" t="s">
        <v>5351</v>
      </c>
      <c r="J1404" s="154" t="s">
        <v>31</v>
      </c>
      <c r="K1404" s="154" t="s">
        <v>2426</v>
      </c>
      <c r="N1404" s="155"/>
      <c r="O1404" s="156"/>
      <c r="P1404" s="157"/>
      <c r="Q1404" s="158"/>
      <c r="R1404" s="159"/>
      <c r="S1404" s="160"/>
      <c r="T1404" s="161"/>
      <c r="U1404" s="156"/>
      <c r="V1404" s="162"/>
      <c r="W1404" s="163"/>
      <c r="X1404" s="164"/>
      <c r="Y1404" s="159"/>
      <c r="Z1404" s="161"/>
      <c r="AA1404" s="165"/>
      <c r="AD1404" s="154" t="s">
        <v>5321</v>
      </c>
      <c r="AE1404" s="155"/>
      <c r="AI1404" s="154" t="s">
        <v>5351</v>
      </c>
      <c r="AL1404" s="154" t="s">
        <v>31</v>
      </c>
      <c r="AM1404" s="154" t="s">
        <v>2426</v>
      </c>
      <c r="AP1404" s="155"/>
      <c r="AQ1404" s="156"/>
      <c r="AR1404" s="157"/>
      <c r="AS1404" s="158"/>
      <c r="AT1404" s="159"/>
      <c r="AU1404" s="161"/>
      <c r="AV1404" s="156"/>
      <c r="AW1404" s="162"/>
      <c r="AX1404" s="163"/>
      <c r="AY1404" s="164">
        <v>2</v>
      </c>
      <c r="AZ1404" s="159" t="s">
        <v>1073</v>
      </c>
      <c r="BA1404" s="161"/>
      <c r="BB1404" s="165"/>
      <c r="BE1404" s="154" t="s">
        <v>5321</v>
      </c>
      <c r="BF1404" s="155"/>
      <c r="BG1404" s="154" t="s">
        <v>5352</v>
      </c>
    </row>
    <row r="1405" spans="1:59" s="154" customFormat="1" ht="15" customHeight="1">
      <c r="A1405" s="168" t="s">
        <v>5089</v>
      </c>
      <c r="B1405" s="23" t="s">
        <v>5353</v>
      </c>
      <c r="C1405" s="154" t="s">
        <v>5250</v>
      </c>
      <c r="D1405" s="155">
        <v>30</v>
      </c>
      <c r="E1405" s="154">
        <v>1</v>
      </c>
      <c r="F1405" s="154" t="s">
        <v>5091</v>
      </c>
      <c r="G1405" s="154" t="s">
        <v>5354</v>
      </c>
      <c r="J1405" s="154" t="s">
        <v>31</v>
      </c>
      <c r="K1405" s="154" t="s">
        <v>2426</v>
      </c>
      <c r="N1405" s="155"/>
      <c r="O1405" s="156"/>
      <c r="P1405" s="157"/>
      <c r="Q1405" s="158"/>
      <c r="R1405" s="159"/>
      <c r="S1405" s="160"/>
      <c r="T1405" s="161"/>
      <c r="U1405" s="156"/>
      <c r="V1405" s="162"/>
      <c r="W1405" s="163"/>
      <c r="X1405" s="164"/>
      <c r="Y1405" s="159"/>
      <c r="Z1405" s="161"/>
      <c r="AA1405" s="165"/>
      <c r="AD1405" s="154" t="s">
        <v>5321</v>
      </c>
      <c r="AE1405" s="155"/>
      <c r="AI1405" s="154" t="s">
        <v>5354</v>
      </c>
      <c r="AL1405" s="154" t="s">
        <v>31</v>
      </c>
      <c r="AM1405" s="154" t="s">
        <v>2426</v>
      </c>
      <c r="AP1405" s="155"/>
      <c r="AQ1405" s="156"/>
      <c r="AR1405" s="157"/>
      <c r="AS1405" s="158"/>
      <c r="AT1405" s="159"/>
      <c r="AU1405" s="161"/>
      <c r="AV1405" s="156"/>
      <c r="AW1405" s="162"/>
      <c r="AX1405" s="163"/>
      <c r="AY1405" s="164">
        <v>3</v>
      </c>
      <c r="AZ1405" s="159" t="s">
        <v>1073</v>
      </c>
      <c r="BA1405" s="161"/>
      <c r="BB1405" s="165"/>
      <c r="BE1405" s="154" t="s">
        <v>5321</v>
      </c>
      <c r="BF1405" s="155"/>
      <c r="BG1405" s="154" t="s">
        <v>5355</v>
      </c>
    </row>
    <row r="1406" spans="1:59" s="154" customFormat="1" ht="15" customHeight="1">
      <c r="A1406" s="168" t="s">
        <v>5089</v>
      </c>
      <c r="B1406" s="23" t="s">
        <v>5356</v>
      </c>
      <c r="C1406" s="154" t="s">
        <v>5250</v>
      </c>
      <c r="D1406" s="155">
        <v>31</v>
      </c>
      <c r="E1406" s="154">
        <v>1</v>
      </c>
      <c r="F1406" s="154" t="s">
        <v>5091</v>
      </c>
      <c r="G1406" s="154" t="s">
        <v>5357</v>
      </c>
      <c r="J1406" s="154" t="s">
        <v>31</v>
      </c>
      <c r="K1406" s="154" t="s">
        <v>2426</v>
      </c>
      <c r="N1406" s="155"/>
      <c r="O1406" s="156"/>
      <c r="P1406" s="157"/>
      <c r="Q1406" s="158"/>
      <c r="R1406" s="159"/>
      <c r="S1406" s="160"/>
      <c r="T1406" s="161"/>
      <c r="U1406" s="156"/>
      <c r="V1406" s="162"/>
      <c r="W1406" s="163"/>
      <c r="X1406" s="164"/>
      <c r="Y1406" s="159"/>
      <c r="Z1406" s="161"/>
      <c r="AA1406" s="165"/>
      <c r="AE1406" s="155"/>
      <c r="AI1406" s="154" t="s">
        <v>5357</v>
      </c>
      <c r="AL1406" s="154" t="s">
        <v>31</v>
      </c>
      <c r="AM1406" s="154" t="s">
        <v>2426</v>
      </c>
      <c r="AP1406" s="155"/>
      <c r="AQ1406" s="156"/>
      <c r="AR1406" s="157"/>
      <c r="AS1406" s="158"/>
      <c r="AT1406" s="159"/>
      <c r="AU1406" s="161"/>
      <c r="AV1406" s="156"/>
      <c r="AW1406" s="162"/>
      <c r="AX1406" s="163"/>
      <c r="AY1406" s="164">
        <v>4</v>
      </c>
      <c r="AZ1406" s="159">
        <v>0</v>
      </c>
      <c r="BA1406" s="161"/>
      <c r="BB1406" s="165"/>
      <c r="BF1406" s="155"/>
      <c r="BG1406" s="154" t="s">
        <v>5358</v>
      </c>
    </row>
    <row r="1407" spans="1:59" s="154" customFormat="1" ht="15" customHeight="1">
      <c r="A1407" s="168" t="s">
        <v>5089</v>
      </c>
      <c r="B1407" s="23" t="s">
        <v>5359</v>
      </c>
      <c r="C1407" s="154" t="s">
        <v>5250</v>
      </c>
      <c r="D1407" s="155">
        <v>32</v>
      </c>
      <c r="E1407" s="154">
        <v>1</v>
      </c>
      <c r="F1407" s="154" t="s">
        <v>5091</v>
      </c>
      <c r="G1407" s="154" t="s">
        <v>4652</v>
      </c>
      <c r="J1407" s="154" t="s">
        <v>31</v>
      </c>
      <c r="K1407" s="154" t="s">
        <v>2426</v>
      </c>
      <c r="N1407" s="155"/>
      <c r="O1407" s="156"/>
      <c r="P1407" s="157"/>
      <c r="Q1407" s="158"/>
      <c r="R1407" s="159"/>
      <c r="S1407" s="160"/>
      <c r="T1407" s="161"/>
      <c r="U1407" s="156"/>
      <c r="V1407" s="162"/>
      <c r="W1407" s="163"/>
      <c r="X1407" s="164"/>
      <c r="Y1407" s="159"/>
      <c r="Z1407" s="161"/>
      <c r="AA1407" s="165"/>
      <c r="AD1407" s="154" t="s">
        <v>5321</v>
      </c>
      <c r="AE1407" s="155"/>
      <c r="AI1407" s="154" t="s">
        <v>4652</v>
      </c>
      <c r="AL1407" s="154" t="s">
        <v>31</v>
      </c>
      <c r="AM1407" s="154" t="s">
        <v>2426</v>
      </c>
      <c r="AP1407" s="155"/>
      <c r="AQ1407" s="156"/>
      <c r="AR1407" s="157"/>
      <c r="AS1407" s="158"/>
      <c r="AT1407" s="159"/>
      <c r="AU1407" s="161"/>
      <c r="AV1407" s="156"/>
      <c r="AW1407" s="162"/>
      <c r="AX1407" s="163"/>
      <c r="AY1407" s="164">
        <v>3</v>
      </c>
      <c r="AZ1407" s="159" t="s">
        <v>1111</v>
      </c>
      <c r="BA1407" s="161"/>
      <c r="BB1407" s="165"/>
      <c r="BE1407" s="154" t="s">
        <v>5321</v>
      </c>
      <c r="BF1407" s="155"/>
    </row>
    <row r="1408" spans="1:59" s="154" customFormat="1" ht="15" customHeight="1">
      <c r="A1408" s="168" t="s">
        <v>5089</v>
      </c>
      <c r="B1408" s="23" t="s">
        <v>5360</v>
      </c>
      <c r="C1408" s="154" t="s">
        <v>5250</v>
      </c>
      <c r="D1408" s="155">
        <v>33</v>
      </c>
      <c r="E1408" s="154">
        <v>1</v>
      </c>
      <c r="F1408" s="154" t="s">
        <v>5091</v>
      </c>
      <c r="G1408" s="154" t="s">
        <v>5361</v>
      </c>
      <c r="J1408" s="154" t="s">
        <v>2702</v>
      </c>
      <c r="K1408" s="154" t="s">
        <v>2426</v>
      </c>
      <c r="N1408" s="155"/>
      <c r="O1408" s="156"/>
      <c r="P1408" s="157"/>
      <c r="Q1408" s="158"/>
      <c r="R1408" s="159"/>
      <c r="S1408" s="160"/>
      <c r="T1408" s="161"/>
      <c r="U1408" s="156"/>
      <c r="V1408" s="162"/>
      <c r="W1408" s="163"/>
      <c r="X1408" s="164"/>
      <c r="Y1408" s="159"/>
      <c r="Z1408" s="161"/>
      <c r="AA1408" s="165"/>
      <c r="AD1408" s="154" t="s">
        <v>5362</v>
      </c>
      <c r="AE1408" s="155"/>
      <c r="AF1408" s="154" t="s">
        <v>5363</v>
      </c>
      <c r="AI1408" s="154" t="s">
        <v>5364</v>
      </c>
      <c r="AL1408" s="154" t="s">
        <v>2702</v>
      </c>
      <c r="AM1408" s="154" t="s">
        <v>2426</v>
      </c>
      <c r="AP1408" s="155"/>
      <c r="AQ1408" s="156"/>
      <c r="AR1408" s="157"/>
      <c r="AS1408" s="158"/>
      <c r="AT1408" s="159"/>
      <c r="AU1408" s="161"/>
      <c r="AV1408" s="156"/>
      <c r="AW1408" s="162"/>
      <c r="AX1408" s="163"/>
      <c r="AY1408" s="164"/>
      <c r="AZ1408" s="159"/>
      <c r="BA1408" s="161"/>
      <c r="BB1408" s="165"/>
      <c r="BE1408" s="154" t="s">
        <v>5362</v>
      </c>
      <c r="BF1408" s="155"/>
      <c r="BG1408" s="154" t="s">
        <v>5365</v>
      </c>
    </row>
    <row r="1409" spans="1:59" s="154" customFormat="1" ht="15" customHeight="1">
      <c r="A1409" s="168" t="s">
        <v>5089</v>
      </c>
      <c r="B1409" s="23" t="s">
        <v>5366</v>
      </c>
      <c r="C1409" s="154" t="s">
        <v>5250</v>
      </c>
      <c r="D1409" s="155">
        <v>34</v>
      </c>
      <c r="E1409" s="154">
        <v>1</v>
      </c>
      <c r="F1409" s="154" t="s">
        <v>5091</v>
      </c>
      <c r="G1409" s="154" t="s">
        <v>5367</v>
      </c>
      <c r="J1409" s="154" t="s">
        <v>2702</v>
      </c>
      <c r="K1409" s="154" t="s">
        <v>2426</v>
      </c>
      <c r="N1409" s="155"/>
      <c r="O1409" s="156"/>
      <c r="P1409" s="157"/>
      <c r="Q1409" s="158"/>
      <c r="R1409" s="159"/>
      <c r="S1409" s="160"/>
      <c r="T1409" s="161"/>
      <c r="U1409" s="156"/>
      <c r="V1409" s="162"/>
      <c r="W1409" s="163"/>
      <c r="X1409" s="164"/>
      <c r="Y1409" s="159"/>
      <c r="Z1409" s="161"/>
      <c r="AA1409" s="165"/>
      <c r="AD1409" s="154" t="s">
        <v>5368</v>
      </c>
      <c r="AE1409" s="155"/>
      <c r="AF1409" s="154" t="s">
        <v>5369</v>
      </c>
      <c r="AI1409" s="154" t="s">
        <v>5364</v>
      </c>
      <c r="AL1409" s="154" t="s">
        <v>2702</v>
      </c>
      <c r="AM1409" s="154" t="s">
        <v>2426</v>
      </c>
      <c r="AP1409" s="155"/>
      <c r="AQ1409" s="156"/>
      <c r="AR1409" s="157"/>
      <c r="AS1409" s="158"/>
      <c r="AT1409" s="159"/>
      <c r="AU1409" s="161"/>
      <c r="AV1409" s="156"/>
      <c r="AW1409" s="162"/>
      <c r="AX1409" s="163"/>
      <c r="AY1409" s="164"/>
      <c r="AZ1409" s="159"/>
      <c r="BA1409" s="161"/>
      <c r="BB1409" s="165"/>
      <c r="BE1409" s="154" t="s">
        <v>5368</v>
      </c>
      <c r="BF1409" s="155"/>
      <c r="BG1409" s="154" t="s">
        <v>5370</v>
      </c>
    </row>
    <row r="1410" spans="1:59" s="154" customFormat="1" ht="15" customHeight="1">
      <c r="A1410" s="168" t="s">
        <v>5089</v>
      </c>
      <c r="B1410" s="23" t="s">
        <v>5371</v>
      </c>
      <c r="C1410" s="154" t="s">
        <v>5250</v>
      </c>
      <c r="D1410" s="155">
        <v>35</v>
      </c>
      <c r="E1410" s="154">
        <v>1</v>
      </c>
      <c r="F1410" s="154" t="s">
        <v>5091</v>
      </c>
      <c r="G1410" s="154" t="s">
        <v>5372</v>
      </c>
      <c r="J1410" s="154" t="s">
        <v>2702</v>
      </c>
      <c r="K1410" s="154" t="s">
        <v>2426</v>
      </c>
      <c r="N1410" s="155"/>
      <c r="O1410" s="156"/>
      <c r="P1410" s="157"/>
      <c r="Q1410" s="158"/>
      <c r="R1410" s="159"/>
      <c r="S1410" s="160"/>
      <c r="T1410" s="161"/>
      <c r="U1410" s="156"/>
      <c r="V1410" s="162"/>
      <c r="W1410" s="163"/>
      <c r="X1410" s="164"/>
      <c r="Y1410" s="159"/>
      <c r="Z1410" s="161"/>
      <c r="AA1410" s="165"/>
      <c r="AD1410" s="154" t="s">
        <v>5368</v>
      </c>
      <c r="AE1410" s="155"/>
      <c r="AF1410" s="154" t="s">
        <v>5373</v>
      </c>
      <c r="AI1410" s="154" t="s">
        <v>5364</v>
      </c>
      <c r="AL1410" s="154" t="s">
        <v>2702</v>
      </c>
      <c r="AM1410" s="154" t="s">
        <v>2426</v>
      </c>
      <c r="AP1410" s="155"/>
      <c r="AQ1410" s="156"/>
      <c r="AR1410" s="157"/>
      <c r="AS1410" s="158"/>
      <c r="AT1410" s="159"/>
      <c r="AU1410" s="161"/>
      <c r="AV1410" s="156"/>
      <c r="AW1410" s="162"/>
      <c r="AX1410" s="163"/>
      <c r="AY1410" s="164"/>
      <c r="AZ1410" s="159"/>
      <c r="BA1410" s="161"/>
      <c r="BB1410" s="165"/>
      <c r="BE1410" s="154" t="s">
        <v>5368</v>
      </c>
      <c r="BF1410" s="155"/>
      <c r="BG1410" s="154" t="s">
        <v>5374</v>
      </c>
    </row>
    <row r="1411" spans="1:59" s="154" customFormat="1" ht="15" customHeight="1">
      <c r="A1411" s="168" t="s">
        <v>5089</v>
      </c>
      <c r="B1411" s="23" t="s">
        <v>5375</v>
      </c>
      <c r="C1411" s="154" t="s">
        <v>5250</v>
      </c>
      <c r="D1411" s="155">
        <v>36</v>
      </c>
      <c r="E1411" s="154">
        <v>1</v>
      </c>
      <c r="F1411" s="154" t="s">
        <v>5091</v>
      </c>
      <c r="G1411" s="154" t="s">
        <v>5376</v>
      </c>
      <c r="J1411" s="154" t="s">
        <v>2702</v>
      </c>
      <c r="K1411" s="154" t="s">
        <v>2426</v>
      </c>
      <c r="N1411" s="155"/>
      <c r="O1411" s="156"/>
      <c r="P1411" s="157"/>
      <c r="Q1411" s="158"/>
      <c r="R1411" s="159"/>
      <c r="S1411" s="160"/>
      <c r="T1411" s="161"/>
      <c r="U1411" s="156"/>
      <c r="V1411" s="162"/>
      <c r="W1411" s="163"/>
      <c r="X1411" s="164"/>
      <c r="Y1411" s="159"/>
      <c r="Z1411" s="161"/>
      <c r="AA1411" s="165"/>
      <c r="AD1411" s="154" t="s">
        <v>5377</v>
      </c>
      <c r="AE1411" s="155"/>
      <c r="AF1411" s="154" t="s">
        <v>5378</v>
      </c>
      <c r="AI1411" s="154" t="s">
        <v>5364</v>
      </c>
      <c r="AL1411" s="154" t="s">
        <v>2702</v>
      </c>
      <c r="AM1411" s="154" t="s">
        <v>2426</v>
      </c>
      <c r="AP1411" s="155"/>
      <c r="AQ1411" s="156"/>
      <c r="AR1411" s="157"/>
      <c r="AS1411" s="158"/>
      <c r="AT1411" s="159"/>
      <c r="AU1411" s="161"/>
      <c r="AV1411" s="156"/>
      <c r="AW1411" s="162"/>
      <c r="AX1411" s="163"/>
      <c r="AY1411" s="164"/>
      <c r="AZ1411" s="159"/>
      <c r="BA1411" s="161"/>
      <c r="BB1411" s="165"/>
      <c r="BE1411" s="154" t="s">
        <v>5377</v>
      </c>
      <c r="BF1411" s="155"/>
      <c r="BG1411" s="154" t="s">
        <v>5379</v>
      </c>
    </row>
    <row r="1412" spans="1:59" s="154" customFormat="1" ht="15" customHeight="1">
      <c r="A1412" s="168" t="s">
        <v>5089</v>
      </c>
      <c r="B1412" s="23" t="s">
        <v>5380</v>
      </c>
      <c r="C1412" s="154" t="s">
        <v>5250</v>
      </c>
      <c r="D1412" s="155">
        <v>37</v>
      </c>
      <c r="E1412" s="154">
        <v>1</v>
      </c>
      <c r="F1412" s="154" t="s">
        <v>5091</v>
      </c>
      <c r="G1412" s="154" t="s">
        <v>5381</v>
      </c>
      <c r="J1412" s="154" t="s">
        <v>2702</v>
      </c>
      <c r="K1412" s="154" t="s">
        <v>2426</v>
      </c>
      <c r="N1412" s="155"/>
      <c r="O1412" s="156"/>
      <c r="P1412" s="157"/>
      <c r="Q1412" s="158"/>
      <c r="R1412" s="159"/>
      <c r="S1412" s="160"/>
      <c r="T1412" s="161"/>
      <c r="U1412" s="156"/>
      <c r="V1412" s="162"/>
      <c r="W1412" s="163"/>
      <c r="X1412" s="164"/>
      <c r="Y1412" s="159"/>
      <c r="Z1412" s="161"/>
      <c r="AA1412" s="165"/>
      <c r="AD1412" s="154" t="s">
        <v>5377</v>
      </c>
      <c r="AE1412" s="155"/>
      <c r="AF1412" s="154" t="s">
        <v>5382</v>
      </c>
      <c r="AI1412" s="154" t="s">
        <v>5364</v>
      </c>
      <c r="AL1412" s="154" t="s">
        <v>2702</v>
      </c>
      <c r="AM1412" s="154" t="s">
        <v>2426</v>
      </c>
      <c r="AP1412" s="155"/>
      <c r="AQ1412" s="156"/>
      <c r="AR1412" s="157"/>
      <c r="AS1412" s="158"/>
      <c r="AT1412" s="159"/>
      <c r="AU1412" s="161"/>
      <c r="AV1412" s="156"/>
      <c r="AW1412" s="162"/>
      <c r="AX1412" s="163"/>
      <c r="AY1412" s="164"/>
      <c r="AZ1412" s="159"/>
      <c r="BA1412" s="161"/>
      <c r="BB1412" s="165"/>
      <c r="BE1412" s="154" t="s">
        <v>5377</v>
      </c>
      <c r="BF1412" s="155"/>
      <c r="BG1412" s="154" t="s">
        <v>5383</v>
      </c>
    </row>
    <row r="1413" spans="1:59" s="154" customFormat="1" ht="15" customHeight="1">
      <c r="A1413" s="168" t="s">
        <v>5089</v>
      </c>
      <c r="B1413" s="23" t="s">
        <v>5384</v>
      </c>
      <c r="C1413" s="154" t="s">
        <v>5250</v>
      </c>
      <c r="D1413" s="155">
        <v>38</v>
      </c>
      <c r="E1413" s="154">
        <v>1</v>
      </c>
      <c r="F1413" s="154" t="s">
        <v>5091</v>
      </c>
      <c r="G1413" s="154" t="s">
        <v>5385</v>
      </c>
      <c r="J1413" s="154" t="s">
        <v>2702</v>
      </c>
      <c r="K1413" s="154" t="s">
        <v>2426</v>
      </c>
      <c r="N1413" s="155"/>
      <c r="O1413" s="156"/>
      <c r="P1413" s="157"/>
      <c r="Q1413" s="158"/>
      <c r="R1413" s="159"/>
      <c r="S1413" s="160"/>
      <c r="T1413" s="161"/>
      <c r="U1413" s="156"/>
      <c r="V1413" s="162"/>
      <c r="W1413" s="163"/>
      <c r="X1413" s="164"/>
      <c r="Y1413" s="159"/>
      <c r="Z1413" s="161"/>
      <c r="AA1413" s="165"/>
      <c r="AD1413" s="154" t="s">
        <v>5377</v>
      </c>
      <c r="AE1413" s="155"/>
      <c r="AF1413" s="154" t="s">
        <v>5386</v>
      </c>
      <c r="AI1413" s="154" t="s">
        <v>5364</v>
      </c>
      <c r="AL1413" s="154" t="s">
        <v>2702</v>
      </c>
      <c r="AM1413" s="154" t="s">
        <v>2426</v>
      </c>
      <c r="AP1413" s="155"/>
      <c r="AQ1413" s="156"/>
      <c r="AR1413" s="157"/>
      <c r="AS1413" s="158"/>
      <c r="AT1413" s="159"/>
      <c r="AU1413" s="161"/>
      <c r="AV1413" s="156"/>
      <c r="AW1413" s="162"/>
      <c r="AX1413" s="163"/>
      <c r="AY1413" s="164"/>
      <c r="AZ1413" s="159"/>
      <c r="BA1413" s="161"/>
      <c r="BB1413" s="165"/>
      <c r="BE1413" s="154" t="s">
        <v>5377</v>
      </c>
      <c r="BF1413" s="155"/>
      <c r="BG1413" s="154" t="s">
        <v>5387</v>
      </c>
    </row>
    <row r="1414" spans="1:59" s="154" customFormat="1" ht="15" customHeight="1">
      <c r="A1414" s="168" t="s">
        <v>5089</v>
      </c>
      <c r="B1414" s="23" t="s">
        <v>5388</v>
      </c>
      <c r="C1414" s="154" t="s">
        <v>5250</v>
      </c>
      <c r="D1414" s="155">
        <v>39</v>
      </c>
      <c r="E1414" s="154">
        <v>1</v>
      </c>
      <c r="F1414" s="154" t="s">
        <v>5091</v>
      </c>
      <c r="G1414" s="154" t="s">
        <v>5389</v>
      </c>
      <c r="J1414" s="154" t="s">
        <v>257</v>
      </c>
      <c r="K1414" s="154" t="s">
        <v>26</v>
      </c>
      <c r="N1414" s="155"/>
      <c r="O1414" s="156"/>
      <c r="P1414" s="157"/>
      <c r="Q1414" s="158"/>
      <c r="R1414" s="159"/>
      <c r="S1414" s="160"/>
      <c r="T1414" s="161"/>
      <c r="U1414" s="156"/>
      <c r="V1414" s="162"/>
      <c r="W1414" s="163"/>
      <c r="X1414" s="164"/>
      <c r="Y1414" s="159"/>
      <c r="Z1414" s="161"/>
      <c r="AA1414" s="165"/>
      <c r="AD1414" s="154" t="s">
        <v>5390</v>
      </c>
      <c r="AE1414" s="155"/>
      <c r="AF1414" s="154" t="s">
        <v>5391</v>
      </c>
      <c r="AP1414" s="155"/>
      <c r="AQ1414" s="156"/>
      <c r="AR1414" s="157"/>
      <c r="AS1414" s="158"/>
      <c r="AT1414" s="159"/>
      <c r="AU1414" s="161"/>
      <c r="AV1414" s="156"/>
      <c r="AW1414" s="162"/>
      <c r="AX1414" s="163"/>
      <c r="AY1414" s="164"/>
      <c r="AZ1414" s="159"/>
      <c r="BA1414" s="161"/>
      <c r="BB1414" s="165"/>
      <c r="BF1414" s="155"/>
    </row>
    <row r="1415" spans="1:59" s="154" customFormat="1" ht="15" customHeight="1">
      <c r="A1415" s="168" t="s">
        <v>5089</v>
      </c>
      <c r="B1415" s="23" t="s">
        <v>5392</v>
      </c>
      <c r="C1415" s="154" t="s">
        <v>5250</v>
      </c>
      <c r="D1415" s="155">
        <v>40</v>
      </c>
      <c r="E1415" s="154">
        <v>1</v>
      </c>
      <c r="F1415" s="154" t="s">
        <v>5091</v>
      </c>
      <c r="G1415" s="154" t="s">
        <v>5393</v>
      </c>
      <c r="J1415" s="154" t="s">
        <v>257</v>
      </c>
      <c r="K1415" s="154" t="s">
        <v>26</v>
      </c>
      <c r="N1415" s="155"/>
      <c r="O1415" s="156"/>
      <c r="P1415" s="157"/>
      <c r="Q1415" s="158"/>
      <c r="R1415" s="159"/>
      <c r="S1415" s="160"/>
      <c r="T1415" s="161"/>
      <c r="U1415" s="156"/>
      <c r="V1415" s="162"/>
      <c r="W1415" s="163"/>
      <c r="X1415" s="164"/>
      <c r="Y1415" s="159"/>
      <c r="Z1415" s="161"/>
      <c r="AA1415" s="165"/>
      <c r="AD1415" s="154" t="s">
        <v>2021</v>
      </c>
      <c r="AE1415" s="155"/>
      <c r="AF1415" s="154" t="s">
        <v>5394</v>
      </c>
      <c r="AP1415" s="155"/>
      <c r="AQ1415" s="156"/>
      <c r="AR1415" s="157"/>
      <c r="AS1415" s="158"/>
      <c r="AT1415" s="159"/>
      <c r="AU1415" s="161"/>
      <c r="AV1415" s="156"/>
      <c r="AW1415" s="162"/>
      <c r="AX1415" s="163"/>
      <c r="AY1415" s="164"/>
      <c r="AZ1415" s="159"/>
      <c r="BA1415" s="161"/>
      <c r="BB1415" s="165"/>
      <c r="BF1415" s="155"/>
    </row>
    <row r="1416" spans="1:59" s="154" customFormat="1" ht="15" customHeight="1">
      <c r="A1416" s="168" t="s">
        <v>5089</v>
      </c>
      <c r="B1416" s="23" t="s">
        <v>5395</v>
      </c>
      <c r="C1416" s="154" t="s">
        <v>5250</v>
      </c>
      <c r="D1416" s="155">
        <v>41</v>
      </c>
      <c r="E1416" s="154">
        <v>1</v>
      </c>
      <c r="F1416" s="154" t="s">
        <v>5091</v>
      </c>
      <c r="G1416" s="154" t="s">
        <v>5396</v>
      </c>
      <c r="J1416" s="154" t="s">
        <v>257</v>
      </c>
      <c r="K1416" s="154" t="s">
        <v>26</v>
      </c>
      <c r="N1416" s="155"/>
      <c r="O1416" s="156"/>
      <c r="P1416" s="157"/>
      <c r="Q1416" s="158"/>
      <c r="R1416" s="159"/>
      <c r="S1416" s="160"/>
      <c r="T1416" s="161"/>
      <c r="U1416" s="156"/>
      <c r="V1416" s="162"/>
      <c r="W1416" s="163"/>
      <c r="X1416" s="164"/>
      <c r="Y1416" s="159"/>
      <c r="Z1416" s="161"/>
      <c r="AA1416" s="165"/>
      <c r="AD1416" s="154" t="s">
        <v>265</v>
      </c>
      <c r="AE1416" s="155"/>
      <c r="AF1416" s="154" t="s">
        <v>5397</v>
      </c>
      <c r="AP1416" s="155"/>
      <c r="AQ1416" s="156"/>
      <c r="AR1416" s="157"/>
      <c r="AS1416" s="158"/>
      <c r="AT1416" s="159"/>
      <c r="AU1416" s="161"/>
      <c r="AV1416" s="156"/>
      <c r="AW1416" s="162"/>
      <c r="AX1416" s="163"/>
      <c r="AY1416" s="164"/>
      <c r="AZ1416" s="159"/>
      <c r="BA1416" s="161"/>
      <c r="BB1416" s="165"/>
      <c r="BF1416" s="155"/>
    </row>
    <row r="1417" spans="1:59" s="154" customFormat="1" ht="15" customHeight="1">
      <c r="A1417" s="168" t="s">
        <v>5089</v>
      </c>
      <c r="B1417" s="23" t="s">
        <v>5398</v>
      </c>
      <c r="C1417" s="154" t="s">
        <v>5250</v>
      </c>
      <c r="D1417" s="155">
        <v>42</v>
      </c>
      <c r="E1417" s="154">
        <v>1</v>
      </c>
      <c r="F1417" s="154" t="s">
        <v>5091</v>
      </c>
      <c r="G1417" s="154" t="s">
        <v>5399</v>
      </c>
      <c r="J1417" s="154" t="s">
        <v>257</v>
      </c>
      <c r="K1417" s="154" t="s">
        <v>26</v>
      </c>
      <c r="N1417" s="155"/>
      <c r="O1417" s="156"/>
      <c r="P1417" s="157"/>
      <c r="Q1417" s="158"/>
      <c r="R1417" s="159"/>
      <c r="S1417" s="160"/>
      <c r="T1417" s="161"/>
      <c r="U1417" s="156"/>
      <c r="V1417" s="162"/>
      <c r="W1417" s="163"/>
      <c r="X1417" s="164"/>
      <c r="Y1417" s="159"/>
      <c r="Z1417" s="161"/>
      <c r="AA1417" s="165"/>
      <c r="AD1417" s="154" t="s">
        <v>5390</v>
      </c>
      <c r="AE1417" s="155"/>
      <c r="AF1417" s="154" t="s">
        <v>5400</v>
      </c>
      <c r="AP1417" s="155"/>
      <c r="AQ1417" s="156"/>
      <c r="AR1417" s="157"/>
      <c r="AS1417" s="158"/>
      <c r="AT1417" s="159"/>
      <c r="AU1417" s="161"/>
      <c r="AV1417" s="156"/>
      <c r="AW1417" s="162"/>
      <c r="AX1417" s="163"/>
      <c r="AY1417" s="164"/>
      <c r="AZ1417" s="159"/>
      <c r="BA1417" s="161"/>
      <c r="BB1417" s="165"/>
      <c r="BF1417" s="155"/>
    </row>
    <row r="1418" spans="1:59" s="154" customFormat="1" ht="15" customHeight="1">
      <c r="A1418" s="168" t="s">
        <v>5089</v>
      </c>
      <c r="B1418" s="23" t="s">
        <v>5401</v>
      </c>
      <c r="C1418" s="154" t="s">
        <v>5250</v>
      </c>
      <c r="D1418" s="155">
        <v>43</v>
      </c>
      <c r="E1418" s="154">
        <v>1</v>
      </c>
      <c r="F1418" s="154" t="s">
        <v>5091</v>
      </c>
      <c r="G1418" s="154" t="s">
        <v>5399</v>
      </c>
      <c r="J1418" s="154" t="s">
        <v>257</v>
      </c>
      <c r="K1418" s="154" t="s">
        <v>26</v>
      </c>
      <c r="N1418" s="155"/>
      <c r="O1418" s="156"/>
      <c r="P1418" s="157"/>
      <c r="Q1418" s="158"/>
      <c r="R1418" s="159"/>
      <c r="S1418" s="160"/>
      <c r="T1418" s="161"/>
      <c r="U1418" s="156"/>
      <c r="V1418" s="162"/>
      <c r="W1418" s="163"/>
      <c r="X1418" s="164"/>
      <c r="Y1418" s="159"/>
      <c r="Z1418" s="161"/>
      <c r="AA1418" s="165"/>
      <c r="AD1418" s="154" t="s">
        <v>5390</v>
      </c>
      <c r="AE1418" s="155"/>
      <c r="AF1418" s="154" t="s">
        <v>5402</v>
      </c>
      <c r="AP1418" s="155"/>
      <c r="AQ1418" s="156"/>
      <c r="AR1418" s="157"/>
      <c r="AS1418" s="158"/>
      <c r="AT1418" s="159"/>
      <c r="AU1418" s="161"/>
      <c r="AV1418" s="156"/>
      <c r="AW1418" s="162"/>
      <c r="AX1418" s="163"/>
      <c r="AY1418" s="164"/>
      <c r="AZ1418" s="159"/>
      <c r="BA1418" s="161"/>
      <c r="BB1418" s="165"/>
      <c r="BF1418" s="155"/>
    </row>
    <row r="1419" spans="1:59" s="154" customFormat="1" ht="15" customHeight="1">
      <c r="A1419" s="168" t="s">
        <v>5089</v>
      </c>
      <c r="B1419" s="30" t="s">
        <v>5403</v>
      </c>
      <c r="C1419" s="154" t="s">
        <v>5250</v>
      </c>
      <c r="D1419" s="155">
        <v>44</v>
      </c>
      <c r="E1419" s="154">
        <v>1</v>
      </c>
      <c r="F1419" s="154" t="s">
        <v>5091</v>
      </c>
      <c r="G1419" s="154" t="s">
        <v>5404</v>
      </c>
      <c r="J1419" s="154" t="s">
        <v>257</v>
      </c>
      <c r="K1419" s="154" t="s">
        <v>26</v>
      </c>
      <c r="N1419" s="155"/>
      <c r="O1419" s="156"/>
      <c r="P1419" s="157"/>
      <c r="Q1419" s="158"/>
      <c r="R1419" s="159"/>
      <c r="S1419" s="160"/>
      <c r="T1419" s="161"/>
      <c r="U1419" s="156"/>
      <c r="V1419" s="162"/>
      <c r="W1419" s="163"/>
      <c r="X1419" s="164"/>
      <c r="Y1419" s="159"/>
      <c r="Z1419" s="161"/>
      <c r="AA1419" s="165"/>
      <c r="AD1419" s="154" t="s">
        <v>5390</v>
      </c>
      <c r="AE1419" s="155"/>
      <c r="AF1419" s="154" t="s">
        <v>5405</v>
      </c>
      <c r="AP1419" s="155"/>
      <c r="AQ1419" s="156"/>
      <c r="AR1419" s="157"/>
      <c r="AS1419" s="158"/>
      <c r="AT1419" s="159"/>
      <c r="AU1419" s="161"/>
      <c r="AV1419" s="156"/>
      <c r="AW1419" s="162"/>
      <c r="AX1419" s="163"/>
      <c r="AY1419" s="164"/>
      <c r="AZ1419" s="159"/>
      <c r="BA1419" s="161"/>
      <c r="BB1419" s="165"/>
      <c r="BF1419" s="155"/>
    </row>
    <row r="1420" spans="1:59" s="154" customFormat="1" ht="15" customHeight="1">
      <c r="A1420" s="168" t="s">
        <v>5089</v>
      </c>
      <c r="B1420" s="23" t="s">
        <v>5406</v>
      </c>
      <c r="C1420" s="154" t="s">
        <v>5250</v>
      </c>
      <c r="D1420" s="155">
        <v>45</v>
      </c>
      <c r="E1420" s="154">
        <v>1</v>
      </c>
      <c r="F1420" s="154" t="s">
        <v>5091</v>
      </c>
      <c r="G1420" s="154" t="s">
        <v>5404</v>
      </c>
      <c r="J1420" s="154" t="s">
        <v>257</v>
      </c>
      <c r="K1420" s="154" t="s">
        <v>26</v>
      </c>
      <c r="N1420" s="155"/>
      <c r="O1420" s="156"/>
      <c r="P1420" s="157"/>
      <c r="Q1420" s="158"/>
      <c r="R1420" s="159"/>
      <c r="S1420" s="160"/>
      <c r="T1420" s="161"/>
      <c r="U1420" s="156"/>
      <c r="V1420" s="162"/>
      <c r="W1420" s="163"/>
      <c r="X1420" s="164"/>
      <c r="Y1420" s="159"/>
      <c r="Z1420" s="161"/>
      <c r="AA1420" s="165"/>
      <c r="AD1420" s="154" t="s">
        <v>5390</v>
      </c>
      <c r="AE1420" s="155"/>
      <c r="AF1420" s="154" t="s">
        <v>5407</v>
      </c>
      <c r="AP1420" s="155"/>
      <c r="AQ1420" s="156"/>
      <c r="AR1420" s="157"/>
      <c r="AS1420" s="158"/>
      <c r="AT1420" s="159"/>
      <c r="AU1420" s="161"/>
      <c r="AV1420" s="156"/>
      <c r="AW1420" s="162"/>
      <c r="AX1420" s="163"/>
      <c r="AY1420" s="164"/>
      <c r="AZ1420" s="159"/>
      <c r="BA1420" s="161"/>
      <c r="BB1420" s="165"/>
      <c r="BF1420" s="155"/>
    </row>
    <row r="1421" spans="1:59" s="154" customFormat="1" ht="15" customHeight="1">
      <c r="A1421" s="168" t="s">
        <v>5089</v>
      </c>
      <c r="B1421" s="23" t="s">
        <v>5408</v>
      </c>
      <c r="C1421" s="154" t="s">
        <v>5250</v>
      </c>
      <c r="D1421" s="155">
        <v>46</v>
      </c>
      <c r="E1421" s="154">
        <v>1</v>
      </c>
      <c r="F1421" s="154" t="s">
        <v>5091</v>
      </c>
      <c r="G1421" s="154" t="s">
        <v>5409</v>
      </c>
      <c r="J1421" s="154" t="s">
        <v>257</v>
      </c>
      <c r="K1421" s="154" t="s">
        <v>26</v>
      </c>
      <c r="N1421" s="155"/>
      <c r="O1421" s="156"/>
      <c r="P1421" s="157"/>
      <c r="Q1421" s="158"/>
      <c r="R1421" s="159"/>
      <c r="S1421" s="160"/>
      <c r="T1421" s="161"/>
      <c r="U1421" s="156"/>
      <c r="V1421" s="162"/>
      <c r="W1421" s="163"/>
      <c r="X1421" s="164"/>
      <c r="Y1421" s="159"/>
      <c r="Z1421" s="161"/>
      <c r="AA1421" s="165"/>
      <c r="AD1421" s="154" t="s">
        <v>5390</v>
      </c>
      <c r="AE1421" s="155"/>
      <c r="AF1421" s="154" t="s">
        <v>5410</v>
      </c>
      <c r="AP1421" s="155"/>
      <c r="AQ1421" s="156"/>
      <c r="AR1421" s="157"/>
      <c r="AS1421" s="158"/>
      <c r="AT1421" s="159"/>
      <c r="AU1421" s="161"/>
      <c r="AV1421" s="156"/>
      <c r="AW1421" s="162"/>
      <c r="AX1421" s="163"/>
      <c r="AY1421" s="164"/>
      <c r="AZ1421" s="159"/>
      <c r="BA1421" s="161"/>
      <c r="BB1421" s="165"/>
      <c r="BF1421" s="155"/>
    </row>
    <row r="1422" spans="1:59" ht="15" customHeight="1">
      <c r="A1422" s="168" t="s">
        <v>5089</v>
      </c>
      <c r="B1422" s="23" t="s">
        <v>5411</v>
      </c>
      <c r="C1422" s="154" t="s">
        <v>5250</v>
      </c>
      <c r="D1422" s="24">
        <v>47</v>
      </c>
      <c r="E1422" s="23">
        <v>1</v>
      </c>
      <c r="F1422" s="154" t="s">
        <v>5091</v>
      </c>
      <c r="G1422" s="28" t="s">
        <v>5409</v>
      </c>
      <c r="J1422" s="23" t="s">
        <v>257</v>
      </c>
      <c r="K1422" s="28" t="s">
        <v>26</v>
      </c>
      <c r="N1422" s="147"/>
      <c r="O1422" s="118"/>
      <c r="P1422" s="119"/>
      <c r="Q1422" s="120"/>
      <c r="R1422" s="29"/>
      <c r="S1422" s="135"/>
      <c r="T1422" s="122"/>
      <c r="U1422" s="118"/>
      <c r="V1422" s="123"/>
      <c r="W1422" s="124"/>
      <c r="X1422" s="125"/>
      <c r="Y1422" s="29"/>
      <c r="Z1422" s="122"/>
      <c r="AA1422" s="126"/>
      <c r="AB1422" s="148"/>
      <c r="AD1422" s="23" t="s">
        <v>5390</v>
      </c>
      <c r="AF1422" s="23" t="s">
        <v>5412</v>
      </c>
      <c r="AI1422" s="28"/>
      <c r="AM1422" s="28"/>
      <c r="AP1422" s="24"/>
      <c r="AQ1422" s="118"/>
      <c r="AR1422" s="119"/>
      <c r="AS1422" s="120"/>
      <c r="AT1422" s="29"/>
      <c r="AU1422" s="122"/>
      <c r="AV1422" s="118"/>
      <c r="AW1422" s="123"/>
      <c r="AX1422" s="124"/>
      <c r="AY1422" s="125"/>
      <c r="AZ1422" s="29"/>
      <c r="BA1422" s="122"/>
      <c r="BB1422" s="126"/>
    </row>
    <row r="1423" spans="1:59" ht="15" customHeight="1">
      <c r="A1423" s="168" t="s">
        <v>5089</v>
      </c>
      <c r="B1423" s="30" t="s">
        <v>5413</v>
      </c>
      <c r="C1423" s="154" t="s">
        <v>5250</v>
      </c>
      <c r="D1423" s="24">
        <v>48</v>
      </c>
      <c r="E1423" s="23">
        <v>1</v>
      </c>
      <c r="F1423" s="154" t="s">
        <v>5091</v>
      </c>
      <c r="G1423" s="23" t="s">
        <v>5414</v>
      </c>
      <c r="H1423" s="23" t="s">
        <v>5415</v>
      </c>
      <c r="I1423" s="23" t="s">
        <v>223</v>
      </c>
      <c r="J1423" s="23" t="s">
        <v>29</v>
      </c>
      <c r="K1423" s="23" t="s">
        <v>2426</v>
      </c>
      <c r="N1423" s="147"/>
      <c r="O1423" s="118"/>
      <c r="P1423" s="119"/>
      <c r="Q1423" s="120">
        <v>2</v>
      </c>
      <c r="R1423" s="29">
        <v>3</v>
      </c>
      <c r="S1423" s="135"/>
      <c r="T1423" s="122">
        <v>6</v>
      </c>
      <c r="U1423" s="118"/>
      <c r="V1423" s="123">
        <v>2</v>
      </c>
      <c r="W1423" s="124">
        <v>2</v>
      </c>
      <c r="X1423" s="125"/>
      <c r="Y1423" s="29"/>
      <c r="Z1423" s="122"/>
      <c r="AA1423" s="126">
        <v>3</v>
      </c>
      <c r="AB1423" s="148"/>
      <c r="AD1423" s="23" t="s">
        <v>1156</v>
      </c>
      <c r="AF1423" s="23" t="s">
        <v>5416</v>
      </c>
      <c r="AP1423" s="24"/>
      <c r="AQ1423" s="118"/>
      <c r="AR1423" s="119"/>
      <c r="AS1423" s="120"/>
      <c r="AT1423" s="29"/>
      <c r="AU1423" s="122"/>
      <c r="AV1423" s="118"/>
      <c r="AW1423" s="123"/>
      <c r="AX1423" s="124"/>
      <c r="AY1423" s="125"/>
      <c r="AZ1423" s="29"/>
      <c r="BA1423" s="122"/>
      <c r="BB1423" s="126"/>
    </row>
    <row r="1424" spans="1:59" ht="15" customHeight="1">
      <c r="A1424" s="168" t="s">
        <v>5089</v>
      </c>
      <c r="B1424" s="23" t="s">
        <v>5417</v>
      </c>
      <c r="C1424" s="154" t="s">
        <v>5250</v>
      </c>
      <c r="D1424" s="24">
        <v>49</v>
      </c>
      <c r="E1424" s="23">
        <v>1</v>
      </c>
      <c r="F1424" s="154" t="s">
        <v>5091</v>
      </c>
      <c r="G1424" s="23" t="s">
        <v>5418</v>
      </c>
      <c r="H1424" s="23" t="s">
        <v>5419</v>
      </c>
      <c r="I1424" s="23" t="s">
        <v>223</v>
      </c>
      <c r="J1424" s="23" t="s">
        <v>29</v>
      </c>
      <c r="K1424" s="23" t="s">
        <v>2426</v>
      </c>
      <c r="N1424" s="147"/>
      <c r="O1424" s="118"/>
      <c r="P1424" s="119"/>
      <c r="Q1424" s="120">
        <v>4</v>
      </c>
      <c r="R1424" s="29">
        <v>4</v>
      </c>
      <c r="S1424" s="135"/>
      <c r="T1424" s="122" t="s">
        <v>4883</v>
      </c>
      <c r="U1424" s="118"/>
      <c r="V1424" s="123">
        <v>2</v>
      </c>
      <c r="W1424" s="124">
        <v>1</v>
      </c>
      <c r="X1424" s="125"/>
      <c r="Y1424" s="29"/>
      <c r="Z1424" s="122"/>
      <c r="AA1424" s="126">
        <v>2</v>
      </c>
      <c r="AB1424" s="148"/>
      <c r="AD1424" s="23" t="s">
        <v>1794</v>
      </c>
      <c r="AF1424" s="23" t="s">
        <v>5420</v>
      </c>
      <c r="AP1424" s="24"/>
      <c r="AQ1424" s="118"/>
      <c r="AR1424" s="119"/>
      <c r="AS1424" s="120"/>
      <c r="AT1424" s="29"/>
      <c r="AU1424" s="122"/>
      <c r="AV1424" s="118"/>
      <c r="AW1424" s="123"/>
      <c r="AX1424" s="124"/>
      <c r="AY1424" s="125"/>
      <c r="AZ1424" s="29"/>
      <c r="BA1424" s="122"/>
      <c r="BB1424" s="126"/>
    </row>
    <row r="1425" spans="1:58" ht="15" customHeight="1">
      <c r="A1425" s="168" t="s">
        <v>5089</v>
      </c>
      <c r="B1425" s="23" t="s">
        <v>5421</v>
      </c>
      <c r="C1425" s="154" t="s">
        <v>5250</v>
      </c>
      <c r="D1425" s="24">
        <v>50</v>
      </c>
      <c r="E1425" s="23">
        <v>1</v>
      </c>
      <c r="F1425" s="154" t="s">
        <v>5091</v>
      </c>
      <c r="G1425" s="23" t="s">
        <v>5418</v>
      </c>
      <c r="H1425" s="23" t="s">
        <v>5419</v>
      </c>
      <c r="I1425" s="23" t="s">
        <v>223</v>
      </c>
      <c r="J1425" s="23" t="s">
        <v>29</v>
      </c>
      <c r="K1425" s="23" t="s">
        <v>2426</v>
      </c>
      <c r="N1425" s="147"/>
      <c r="O1425" s="118"/>
      <c r="P1425" s="119"/>
      <c r="Q1425" s="120">
        <v>4</v>
      </c>
      <c r="R1425" s="29">
        <v>4</v>
      </c>
      <c r="S1425" s="135"/>
      <c r="T1425" s="122" t="s">
        <v>4883</v>
      </c>
      <c r="U1425" s="118"/>
      <c r="V1425" s="123">
        <v>2</v>
      </c>
      <c r="W1425" s="124">
        <v>1</v>
      </c>
      <c r="X1425" s="125"/>
      <c r="Y1425" s="29"/>
      <c r="Z1425" s="122"/>
      <c r="AA1425" s="126">
        <v>2</v>
      </c>
      <c r="AB1425" s="148"/>
      <c r="AD1425" s="23" t="s">
        <v>1794</v>
      </c>
      <c r="AF1425" s="23" t="s">
        <v>5422</v>
      </c>
      <c r="AP1425" s="24"/>
      <c r="AQ1425" s="118"/>
      <c r="AR1425" s="119"/>
      <c r="AS1425" s="120"/>
      <c r="AT1425" s="29"/>
      <c r="AU1425" s="122"/>
      <c r="AV1425" s="118"/>
      <c r="AW1425" s="123"/>
      <c r="AX1425" s="124"/>
      <c r="AY1425" s="125"/>
      <c r="AZ1425" s="29"/>
      <c r="BA1425" s="122"/>
      <c r="BB1425" s="126"/>
    </row>
    <row r="1426" spans="1:58" ht="15" customHeight="1">
      <c r="A1426" s="168" t="s">
        <v>5089</v>
      </c>
      <c r="B1426" s="23" t="s">
        <v>5423</v>
      </c>
      <c r="C1426" s="154" t="s">
        <v>5250</v>
      </c>
      <c r="D1426" s="24">
        <v>51</v>
      </c>
      <c r="E1426" s="23">
        <v>1</v>
      </c>
      <c r="F1426" s="154" t="s">
        <v>5091</v>
      </c>
      <c r="G1426" s="23" t="s">
        <v>5424</v>
      </c>
      <c r="I1426" s="23" t="s">
        <v>223</v>
      </c>
      <c r="J1426" s="23" t="s">
        <v>29</v>
      </c>
      <c r="K1426" s="23" t="s">
        <v>2426</v>
      </c>
      <c r="N1426" s="147"/>
      <c r="O1426" s="118"/>
      <c r="P1426" s="119"/>
      <c r="Q1426" s="120">
        <v>3</v>
      </c>
      <c r="R1426" s="29">
        <v>3</v>
      </c>
      <c r="S1426" s="135"/>
      <c r="T1426" s="122">
        <v>12</v>
      </c>
      <c r="U1426" s="118"/>
      <c r="V1426" s="123">
        <v>2</v>
      </c>
      <c r="W1426" s="124"/>
      <c r="X1426" s="125"/>
      <c r="Y1426" s="29"/>
      <c r="Z1426" s="122"/>
      <c r="AA1426" s="126">
        <v>5</v>
      </c>
      <c r="AB1426" s="148"/>
      <c r="AD1426" s="23" t="s">
        <v>1794</v>
      </c>
      <c r="AF1426" s="23" t="s">
        <v>5425</v>
      </c>
      <c r="AP1426" s="24"/>
      <c r="AQ1426" s="118"/>
      <c r="AR1426" s="119"/>
      <c r="AS1426" s="120"/>
      <c r="AT1426" s="29"/>
      <c r="AU1426" s="122"/>
      <c r="AV1426" s="118"/>
      <c r="AW1426" s="123"/>
      <c r="AX1426" s="124"/>
      <c r="AY1426" s="125"/>
      <c r="AZ1426" s="29"/>
      <c r="BA1426" s="122"/>
      <c r="BB1426" s="126"/>
    </row>
    <row r="1427" spans="1:58" s="154" customFormat="1" ht="15" customHeight="1">
      <c r="A1427" s="168" t="s">
        <v>5089</v>
      </c>
      <c r="B1427" s="23" t="s">
        <v>5426</v>
      </c>
      <c r="C1427" s="154" t="s">
        <v>5250</v>
      </c>
      <c r="D1427" s="155">
        <v>52</v>
      </c>
      <c r="E1427" s="154">
        <v>2</v>
      </c>
      <c r="F1427" s="154" t="s">
        <v>5091</v>
      </c>
      <c r="G1427" s="171" t="s">
        <v>5427</v>
      </c>
      <c r="J1427" s="154" t="s">
        <v>29</v>
      </c>
      <c r="K1427" s="171" t="s">
        <v>2426</v>
      </c>
      <c r="N1427" s="155"/>
      <c r="O1427" s="156"/>
      <c r="P1427" s="157"/>
      <c r="Q1427" s="158">
        <v>4</v>
      </c>
      <c r="R1427" s="159">
        <v>3</v>
      </c>
      <c r="S1427" s="160"/>
      <c r="T1427" s="161">
        <v>4</v>
      </c>
      <c r="U1427" s="156"/>
      <c r="V1427" s="162">
        <v>1</v>
      </c>
      <c r="W1427" s="163">
        <v>2</v>
      </c>
      <c r="X1427" s="164"/>
      <c r="Y1427" s="159"/>
      <c r="Z1427" s="161"/>
      <c r="AA1427" s="165"/>
      <c r="AD1427" s="154" t="s">
        <v>488</v>
      </c>
      <c r="AE1427" s="155"/>
      <c r="AF1427" s="154" t="s">
        <v>5428</v>
      </c>
      <c r="AI1427" s="171"/>
      <c r="AM1427" s="171"/>
      <c r="AP1427" s="155"/>
      <c r="AQ1427" s="156"/>
      <c r="AR1427" s="157"/>
      <c r="AS1427" s="158"/>
      <c r="AT1427" s="159"/>
      <c r="AU1427" s="161"/>
      <c r="AV1427" s="156"/>
      <c r="AW1427" s="162"/>
      <c r="AX1427" s="163"/>
      <c r="AY1427" s="164"/>
      <c r="AZ1427" s="159"/>
      <c r="BA1427" s="161"/>
      <c r="BB1427" s="165"/>
      <c r="BF1427" s="155"/>
    </row>
    <row r="1428" spans="1:58" s="154" customFormat="1" ht="15" customHeight="1">
      <c r="A1428" s="168" t="s">
        <v>5089</v>
      </c>
      <c r="B1428" s="23" t="s">
        <v>5429</v>
      </c>
      <c r="C1428" s="154" t="s">
        <v>5250</v>
      </c>
      <c r="D1428" s="155">
        <v>53</v>
      </c>
      <c r="E1428" s="154">
        <v>3</v>
      </c>
      <c r="F1428" s="154" t="s">
        <v>5091</v>
      </c>
      <c r="G1428" s="154" t="s">
        <v>5430</v>
      </c>
      <c r="J1428" s="154" t="s">
        <v>29</v>
      </c>
      <c r="K1428" s="154" t="s">
        <v>2426</v>
      </c>
      <c r="N1428" s="155"/>
      <c r="O1428" s="156"/>
      <c r="P1428" s="157"/>
      <c r="Q1428" s="158">
        <v>2</v>
      </c>
      <c r="R1428" s="159">
        <v>2</v>
      </c>
      <c r="S1428" s="160"/>
      <c r="T1428" s="161">
        <v>2</v>
      </c>
      <c r="U1428" s="156"/>
      <c r="V1428" s="162">
        <v>1</v>
      </c>
      <c r="W1428" s="163">
        <v>1</v>
      </c>
      <c r="X1428" s="164"/>
      <c r="Y1428" s="159"/>
      <c r="Z1428" s="161"/>
      <c r="AA1428" s="165"/>
      <c r="AD1428" s="154" t="s">
        <v>5431</v>
      </c>
      <c r="AE1428" s="155"/>
      <c r="AF1428" s="154" t="s">
        <v>5432</v>
      </c>
      <c r="AP1428" s="155"/>
      <c r="AQ1428" s="156"/>
      <c r="AR1428" s="157"/>
      <c r="AS1428" s="158"/>
      <c r="AT1428" s="159"/>
      <c r="AU1428" s="161"/>
      <c r="AV1428" s="156"/>
      <c r="AW1428" s="162"/>
      <c r="AX1428" s="163"/>
      <c r="AY1428" s="164"/>
      <c r="AZ1428" s="159"/>
      <c r="BA1428" s="161"/>
      <c r="BB1428" s="165"/>
      <c r="BF1428" s="155"/>
    </row>
    <row r="1429" spans="1:58" s="154" customFormat="1" ht="15" customHeight="1">
      <c r="A1429" s="168" t="s">
        <v>5089</v>
      </c>
      <c r="B1429" s="23" t="s">
        <v>5433</v>
      </c>
      <c r="C1429" s="154" t="s">
        <v>5250</v>
      </c>
      <c r="D1429" s="155">
        <v>54</v>
      </c>
      <c r="E1429" s="154">
        <v>3</v>
      </c>
      <c r="F1429" s="154" t="s">
        <v>5091</v>
      </c>
      <c r="G1429" s="154" t="s">
        <v>5434</v>
      </c>
      <c r="J1429" s="154" t="s">
        <v>29</v>
      </c>
      <c r="K1429" s="154" t="s">
        <v>2426</v>
      </c>
      <c r="N1429" s="155"/>
      <c r="O1429" s="156"/>
      <c r="P1429" s="157"/>
      <c r="Q1429" s="158">
        <v>3</v>
      </c>
      <c r="R1429" s="159">
        <v>1</v>
      </c>
      <c r="S1429" s="160"/>
      <c r="T1429" s="161">
        <v>3</v>
      </c>
      <c r="U1429" s="156"/>
      <c r="V1429" s="162">
        <v>1</v>
      </c>
      <c r="W1429" s="163">
        <v>1</v>
      </c>
      <c r="X1429" s="164"/>
      <c r="Y1429" s="159"/>
      <c r="Z1429" s="161"/>
      <c r="AA1429" s="165"/>
      <c r="AD1429" s="154" t="s">
        <v>5435</v>
      </c>
      <c r="AE1429" s="155"/>
      <c r="AF1429" s="154" t="s">
        <v>5436</v>
      </c>
      <c r="AP1429" s="155"/>
      <c r="AQ1429" s="156"/>
      <c r="AR1429" s="157"/>
      <c r="AS1429" s="158"/>
      <c r="AT1429" s="159"/>
      <c r="AU1429" s="161"/>
      <c r="AV1429" s="156"/>
      <c r="AW1429" s="162"/>
      <c r="AX1429" s="163"/>
      <c r="AY1429" s="164"/>
      <c r="AZ1429" s="159"/>
      <c r="BA1429" s="161"/>
      <c r="BB1429" s="165"/>
      <c r="BF1429" s="155"/>
    </row>
    <row r="1430" spans="1:58" s="154" customFormat="1" ht="15" customHeight="1">
      <c r="A1430" s="168" t="s">
        <v>5089</v>
      </c>
      <c r="B1430" s="23" t="s">
        <v>5437</v>
      </c>
      <c r="C1430" s="154" t="s">
        <v>5250</v>
      </c>
      <c r="D1430" s="155">
        <v>55</v>
      </c>
      <c r="E1430" s="154">
        <v>3</v>
      </c>
      <c r="F1430" s="154" t="s">
        <v>5091</v>
      </c>
      <c r="G1430" s="154" t="s">
        <v>5438</v>
      </c>
      <c r="J1430" s="154" t="s">
        <v>28</v>
      </c>
      <c r="K1430" s="154" t="s">
        <v>2426</v>
      </c>
      <c r="N1430" s="155"/>
      <c r="O1430" s="156"/>
      <c r="P1430" s="157"/>
      <c r="Q1430" s="158"/>
      <c r="R1430" s="159"/>
      <c r="S1430" s="160"/>
      <c r="T1430" s="161"/>
      <c r="U1430" s="156"/>
      <c r="V1430" s="162"/>
      <c r="W1430" s="163"/>
      <c r="X1430" s="164"/>
      <c r="Y1430" s="159"/>
      <c r="Z1430" s="161"/>
      <c r="AA1430" s="165"/>
      <c r="AD1430" s="154" t="s">
        <v>5439</v>
      </c>
      <c r="AE1430" s="155"/>
      <c r="AF1430" s="154" t="s">
        <v>5440</v>
      </c>
      <c r="AP1430" s="155"/>
      <c r="AQ1430" s="156"/>
      <c r="AR1430" s="157"/>
      <c r="AS1430" s="158"/>
      <c r="AT1430" s="159"/>
      <c r="AU1430" s="161"/>
      <c r="AV1430" s="156"/>
      <c r="AW1430" s="162"/>
      <c r="AX1430" s="163"/>
      <c r="AY1430" s="164"/>
      <c r="AZ1430" s="159"/>
      <c r="BA1430" s="161"/>
      <c r="BB1430" s="165"/>
      <c r="BF1430" s="155"/>
    </row>
    <row r="1431" spans="1:58" s="154" customFormat="1" ht="15" customHeight="1">
      <c r="A1431" s="168" t="s">
        <v>5089</v>
      </c>
      <c r="B1431" s="23" t="s">
        <v>5441</v>
      </c>
      <c r="C1431" s="154" t="s">
        <v>5250</v>
      </c>
      <c r="D1431" s="155">
        <v>56</v>
      </c>
      <c r="E1431" s="154">
        <v>3</v>
      </c>
      <c r="F1431" s="154" t="s">
        <v>5091</v>
      </c>
      <c r="G1431" s="154" t="s">
        <v>5442</v>
      </c>
      <c r="J1431" s="154" t="s">
        <v>28</v>
      </c>
      <c r="K1431" s="154" t="s">
        <v>2426</v>
      </c>
      <c r="N1431" s="155"/>
      <c r="O1431" s="156"/>
      <c r="P1431" s="157"/>
      <c r="Q1431" s="158"/>
      <c r="R1431" s="159"/>
      <c r="S1431" s="160"/>
      <c r="T1431" s="161"/>
      <c r="U1431" s="156"/>
      <c r="V1431" s="162"/>
      <c r="W1431" s="163"/>
      <c r="X1431" s="164"/>
      <c r="Y1431" s="159"/>
      <c r="Z1431" s="161"/>
      <c r="AA1431" s="165"/>
      <c r="AD1431" s="154" t="s">
        <v>5443</v>
      </c>
      <c r="AE1431" s="155"/>
      <c r="AF1431" s="154" t="s">
        <v>5444</v>
      </c>
      <c r="AP1431" s="155"/>
      <c r="AQ1431" s="156"/>
      <c r="AR1431" s="157"/>
      <c r="AS1431" s="158"/>
      <c r="AT1431" s="159"/>
      <c r="AU1431" s="161"/>
      <c r="AV1431" s="156"/>
      <c r="AW1431" s="162"/>
      <c r="AX1431" s="163"/>
      <c r="AY1431" s="164"/>
      <c r="AZ1431" s="159"/>
      <c r="BA1431" s="161"/>
      <c r="BB1431" s="165"/>
      <c r="BF1431" s="155"/>
    </row>
    <row r="1432" spans="1:58" s="154" customFormat="1" ht="15" customHeight="1">
      <c r="A1432" s="168" t="s">
        <v>5089</v>
      </c>
      <c r="B1432" s="23" t="s">
        <v>5445</v>
      </c>
      <c r="C1432" s="154" t="s">
        <v>5250</v>
      </c>
      <c r="D1432" s="155">
        <v>57</v>
      </c>
      <c r="E1432" s="154">
        <v>3</v>
      </c>
      <c r="F1432" s="154" t="s">
        <v>5091</v>
      </c>
      <c r="G1432" s="154" t="s">
        <v>5446</v>
      </c>
      <c r="J1432" s="154" t="s">
        <v>28</v>
      </c>
      <c r="K1432" s="171" t="s">
        <v>2426</v>
      </c>
      <c r="N1432" s="155"/>
      <c r="O1432" s="156"/>
      <c r="P1432" s="157"/>
      <c r="Q1432" s="158"/>
      <c r="R1432" s="159"/>
      <c r="S1432" s="160"/>
      <c r="T1432" s="161"/>
      <c r="U1432" s="156"/>
      <c r="V1432" s="162"/>
      <c r="W1432" s="163"/>
      <c r="X1432" s="164"/>
      <c r="Y1432" s="159"/>
      <c r="Z1432" s="161"/>
      <c r="AA1432" s="165"/>
      <c r="AD1432" s="154" t="s">
        <v>1025</v>
      </c>
      <c r="AE1432" s="155"/>
      <c r="AF1432" s="154" t="s">
        <v>5447</v>
      </c>
      <c r="AP1432" s="155"/>
      <c r="AQ1432" s="156"/>
      <c r="AR1432" s="157"/>
      <c r="AS1432" s="158"/>
      <c r="AT1432" s="159"/>
      <c r="AU1432" s="161"/>
      <c r="AV1432" s="156"/>
      <c r="AW1432" s="162"/>
      <c r="AX1432" s="163"/>
      <c r="AY1432" s="164"/>
      <c r="AZ1432" s="159"/>
      <c r="BA1432" s="161"/>
      <c r="BB1432" s="165"/>
      <c r="BF1432" s="155"/>
    </row>
    <row r="1433" spans="1:58" s="154" customFormat="1" ht="15" customHeight="1">
      <c r="A1433" s="168" t="s">
        <v>5089</v>
      </c>
      <c r="B1433" s="23" t="s">
        <v>5448</v>
      </c>
      <c r="C1433" s="154" t="s">
        <v>5250</v>
      </c>
      <c r="D1433" s="155">
        <v>58</v>
      </c>
      <c r="E1433" s="154">
        <v>3</v>
      </c>
      <c r="F1433" s="154" t="s">
        <v>5091</v>
      </c>
      <c r="G1433" s="154" t="s">
        <v>5449</v>
      </c>
      <c r="J1433" s="154" t="s">
        <v>28</v>
      </c>
      <c r="K1433" s="171" t="s">
        <v>2426</v>
      </c>
      <c r="N1433" s="155"/>
      <c r="O1433" s="156"/>
      <c r="P1433" s="157"/>
      <c r="Q1433" s="158"/>
      <c r="R1433" s="159"/>
      <c r="S1433" s="160"/>
      <c r="T1433" s="161"/>
      <c r="U1433" s="156"/>
      <c r="V1433" s="162"/>
      <c r="W1433" s="163"/>
      <c r="X1433" s="164"/>
      <c r="Y1433" s="159"/>
      <c r="Z1433" s="161"/>
      <c r="AA1433" s="165"/>
      <c r="AD1433" s="154" t="s">
        <v>1025</v>
      </c>
      <c r="AE1433" s="155"/>
      <c r="AF1433" s="154" t="s">
        <v>5450</v>
      </c>
      <c r="AP1433" s="155"/>
      <c r="AQ1433" s="156"/>
      <c r="AR1433" s="157"/>
      <c r="AS1433" s="158"/>
      <c r="AT1433" s="159"/>
      <c r="AU1433" s="161"/>
      <c r="AV1433" s="156"/>
      <c r="AW1433" s="162"/>
      <c r="AX1433" s="163"/>
      <c r="AY1433" s="164"/>
      <c r="AZ1433" s="159"/>
      <c r="BA1433" s="161"/>
      <c r="BB1433" s="165"/>
      <c r="BF1433" s="155"/>
    </row>
    <row r="1434" spans="1:58" s="154" customFormat="1" ht="15" customHeight="1">
      <c r="A1434" s="168" t="s">
        <v>5089</v>
      </c>
      <c r="B1434" s="23" t="s">
        <v>5451</v>
      </c>
      <c r="C1434" s="154" t="s">
        <v>5250</v>
      </c>
      <c r="D1434" s="155">
        <v>59</v>
      </c>
      <c r="E1434" s="154">
        <v>3</v>
      </c>
      <c r="F1434" s="154" t="s">
        <v>5091</v>
      </c>
      <c r="G1434" s="154" t="s">
        <v>5452</v>
      </c>
      <c r="J1434" s="154" t="s">
        <v>28</v>
      </c>
      <c r="K1434" s="154" t="s">
        <v>2426</v>
      </c>
      <c r="N1434" s="155"/>
      <c r="O1434" s="156"/>
      <c r="P1434" s="157"/>
      <c r="Q1434" s="158"/>
      <c r="R1434" s="159"/>
      <c r="S1434" s="160"/>
      <c r="T1434" s="161"/>
      <c r="U1434" s="156"/>
      <c r="V1434" s="162"/>
      <c r="W1434" s="163"/>
      <c r="X1434" s="164"/>
      <c r="Y1434" s="159"/>
      <c r="Z1434" s="161"/>
      <c r="AA1434" s="165"/>
      <c r="AD1434" s="154" t="s">
        <v>479</v>
      </c>
      <c r="AE1434" s="155"/>
      <c r="AF1434" s="154" t="s">
        <v>5453</v>
      </c>
      <c r="AP1434" s="155"/>
      <c r="AQ1434" s="156"/>
      <c r="AR1434" s="157"/>
      <c r="AS1434" s="158"/>
      <c r="AT1434" s="159"/>
      <c r="AU1434" s="161"/>
      <c r="AV1434" s="156"/>
      <c r="AW1434" s="162"/>
      <c r="AX1434" s="163"/>
      <c r="AY1434" s="164"/>
      <c r="AZ1434" s="159"/>
      <c r="BA1434" s="161"/>
      <c r="BB1434" s="165"/>
      <c r="BF1434" s="155"/>
    </row>
    <row r="1435" spans="1:58" s="154" customFormat="1" ht="15" customHeight="1">
      <c r="A1435" s="168" t="s">
        <v>5089</v>
      </c>
      <c r="B1435" s="23" t="s">
        <v>5454</v>
      </c>
      <c r="C1435" s="154" t="s">
        <v>5250</v>
      </c>
      <c r="D1435" s="155">
        <v>60</v>
      </c>
      <c r="E1435" s="154">
        <v>3</v>
      </c>
      <c r="F1435" s="154" t="s">
        <v>5091</v>
      </c>
      <c r="G1435" s="154" t="s">
        <v>5452</v>
      </c>
      <c r="J1435" s="154" t="s">
        <v>28</v>
      </c>
      <c r="K1435" s="154" t="s">
        <v>2426</v>
      </c>
      <c r="N1435" s="155"/>
      <c r="O1435" s="156"/>
      <c r="P1435" s="157"/>
      <c r="Q1435" s="158"/>
      <c r="R1435" s="159"/>
      <c r="S1435" s="160"/>
      <c r="T1435" s="161"/>
      <c r="U1435" s="156"/>
      <c r="V1435" s="162"/>
      <c r="W1435" s="163"/>
      <c r="X1435" s="164"/>
      <c r="Y1435" s="159"/>
      <c r="Z1435" s="161"/>
      <c r="AA1435" s="165"/>
      <c r="AD1435" s="154" t="s">
        <v>479</v>
      </c>
      <c r="AE1435" s="155"/>
      <c r="AF1435" s="154" t="s">
        <v>635</v>
      </c>
      <c r="AP1435" s="155"/>
      <c r="AQ1435" s="156"/>
      <c r="AR1435" s="157"/>
      <c r="AS1435" s="158"/>
      <c r="AT1435" s="159"/>
      <c r="AU1435" s="161"/>
      <c r="AV1435" s="156"/>
      <c r="AW1435" s="162"/>
      <c r="AX1435" s="163"/>
      <c r="AY1435" s="164"/>
      <c r="AZ1435" s="159"/>
      <c r="BA1435" s="161"/>
      <c r="BB1435" s="165"/>
      <c r="BF1435" s="155"/>
    </row>
    <row r="1436" spans="1:58" s="154" customFormat="1" ht="15" customHeight="1">
      <c r="A1436" s="168" t="s">
        <v>5089</v>
      </c>
      <c r="B1436" s="23" t="s">
        <v>5455</v>
      </c>
      <c r="C1436" s="154" t="s">
        <v>5250</v>
      </c>
      <c r="D1436" s="155">
        <v>61</v>
      </c>
      <c r="E1436" s="154">
        <v>3</v>
      </c>
      <c r="F1436" s="154" t="s">
        <v>5091</v>
      </c>
      <c r="G1436" s="154" t="s">
        <v>5456</v>
      </c>
      <c r="J1436" s="154" t="s">
        <v>28</v>
      </c>
      <c r="K1436" s="154" t="s">
        <v>2426</v>
      </c>
      <c r="N1436" s="155"/>
      <c r="O1436" s="156"/>
      <c r="P1436" s="157"/>
      <c r="Q1436" s="158"/>
      <c r="R1436" s="159"/>
      <c r="S1436" s="160"/>
      <c r="T1436" s="161"/>
      <c r="U1436" s="156"/>
      <c r="V1436" s="162"/>
      <c r="W1436" s="163"/>
      <c r="X1436" s="164"/>
      <c r="Y1436" s="159"/>
      <c r="Z1436" s="161"/>
      <c r="AA1436" s="165"/>
      <c r="AD1436" s="154" t="s">
        <v>486</v>
      </c>
      <c r="AE1436" s="155"/>
      <c r="AF1436" s="154" t="s">
        <v>5457</v>
      </c>
      <c r="AP1436" s="155"/>
      <c r="AQ1436" s="156"/>
      <c r="AR1436" s="157"/>
      <c r="AS1436" s="158"/>
      <c r="AT1436" s="159"/>
      <c r="AU1436" s="161"/>
      <c r="AV1436" s="156"/>
      <c r="AW1436" s="162"/>
      <c r="AX1436" s="163"/>
      <c r="AY1436" s="164"/>
      <c r="AZ1436" s="159"/>
      <c r="BA1436" s="161"/>
      <c r="BB1436" s="165"/>
      <c r="BF1436" s="155"/>
    </row>
    <row r="1437" spans="1:58" s="171" customFormat="1" ht="15" customHeight="1">
      <c r="A1437" s="153" t="s">
        <v>5461</v>
      </c>
      <c r="B1437" s="154" t="s">
        <v>5464</v>
      </c>
      <c r="C1437" s="154" t="s">
        <v>5491</v>
      </c>
      <c r="D1437" s="170">
        <v>1</v>
      </c>
      <c r="E1437" s="171">
        <v>2</v>
      </c>
      <c r="F1437" s="154"/>
      <c r="G1437" s="171" t="s">
        <v>1812</v>
      </c>
      <c r="J1437" s="171" t="s">
        <v>257</v>
      </c>
      <c r="K1437" s="171" t="s">
        <v>198</v>
      </c>
      <c r="L1437" s="171">
        <v>2</v>
      </c>
      <c r="N1437" s="170">
        <v>2</v>
      </c>
      <c r="O1437" s="156">
        <v>1</v>
      </c>
      <c r="P1437" s="157"/>
      <c r="Q1437" s="158">
        <v>1</v>
      </c>
      <c r="R1437" s="159"/>
      <c r="S1437" s="160"/>
      <c r="T1437" s="161"/>
      <c r="U1437" s="156"/>
      <c r="V1437" s="162"/>
      <c r="W1437" s="163"/>
      <c r="X1437" s="164"/>
      <c r="Y1437" s="159"/>
      <c r="Z1437" s="161"/>
      <c r="AA1437" s="165"/>
      <c r="AB1437" s="171" t="s">
        <v>1083</v>
      </c>
      <c r="AC1437" s="171" t="s">
        <v>393</v>
      </c>
      <c r="AD1437" s="171" t="s">
        <v>265</v>
      </c>
      <c r="AE1437" s="170"/>
      <c r="AF1437" s="171" t="s">
        <v>5465</v>
      </c>
      <c r="AQ1437" s="156"/>
      <c r="AR1437" s="157"/>
      <c r="AS1437" s="158"/>
      <c r="AT1437" s="159"/>
      <c r="AU1437" s="161"/>
      <c r="AV1437" s="156"/>
      <c r="AW1437" s="162"/>
      <c r="AX1437" s="163"/>
      <c r="AY1437" s="164"/>
      <c r="AZ1437" s="159"/>
      <c r="BA1437" s="161"/>
      <c r="BB1437" s="165"/>
      <c r="BF1437" s="170"/>
    </row>
    <row r="1438" spans="1:58" s="154" customFormat="1" ht="15" customHeight="1">
      <c r="A1438" s="153" t="s">
        <v>5461</v>
      </c>
      <c r="B1438" s="154" t="s">
        <v>5466</v>
      </c>
      <c r="C1438" s="154" t="s">
        <v>5491</v>
      </c>
      <c r="D1438" s="170">
        <v>2</v>
      </c>
      <c r="E1438" s="154">
        <v>2</v>
      </c>
      <c r="G1438" s="154" t="s">
        <v>1380</v>
      </c>
      <c r="J1438" s="171" t="s">
        <v>257</v>
      </c>
      <c r="K1438" s="154" t="s">
        <v>198</v>
      </c>
      <c r="L1438" s="154">
        <v>2</v>
      </c>
      <c r="N1438" s="155">
        <v>2</v>
      </c>
      <c r="O1438" s="156"/>
      <c r="P1438" s="157"/>
      <c r="Q1438" s="158">
        <v>1</v>
      </c>
      <c r="R1438" s="159">
        <v>1</v>
      </c>
      <c r="S1438" s="160"/>
      <c r="T1438" s="161"/>
      <c r="U1438" s="156"/>
      <c r="V1438" s="162"/>
      <c r="W1438" s="163"/>
      <c r="X1438" s="164"/>
      <c r="Y1438" s="159"/>
      <c r="Z1438" s="161"/>
      <c r="AA1438" s="165"/>
      <c r="AB1438" s="154" t="s">
        <v>1087</v>
      </c>
      <c r="AC1438" s="154" t="s">
        <v>258</v>
      </c>
      <c r="AD1438" s="154" t="s">
        <v>298</v>
      </c>
      <c r="AE1438" s="155"/>
      <c r="AF1438" s="154" t="s">
        <v>5467</v>
      </c>
      <c r="AL1438" s="171"/>
      <c r="AO1438" s="155"/>
      <c r="AP1438" s="155"/>
      <c r="AQ1438" s="156"/>
      <c r="AR1438" s="157"/>
      <c r="AS1438" s="158"/>
      <c r="AT1438" s="159"/>
      <c r="AU1438" s="161"/>
      <c r="AV1438" s="156"/>
      <c r="AW1438" s="162"/>
      <c r="AX1438" s="163"/>
      <c r="AY1438" s="164"/>
      <c r="AZ1438" s="159"/>
      <c r="BA1438" s="161"/>
      <c r="BB1438" s="165"/>
      <c r="BE1438" s="155"/>
    </row>
    <row r="1439" spans="1:58" s="154" customFormat="1" ht="15" customHeight="1">
      <c r="A1439" s="153" t="s">
        <v>5461</v>
      </c>
      <c r="B1439" s="153" t="s">
        <v>5468</v>
      </c>
      <c r="C1439" s="154" t="s">
        <v>5491</v>
      </c>
      <c r="D1439" s="170">
        <v>3</v>
      </c>
      <c r="E1439" s="154">
        <v>2</v>
      </c>
      <c r="G1439" s="154" t="s">
        <v>1987</v>
      </c>
      <c r="J1439" s="171" t="s">
        <v>27</v>
      </c>
      <c r="K1439" s="154" t="s">
        <v>199</v>
      </c>
      <c r="L1439" s="154">
        <v>2</v>
      </c>
      <c r="N1439" s="155">
        <v>0</v>
      </c>
      <c r="O1439" s="156">
        <v>1</v>
      </c>
      <c r="P1439" s="157">
        <v>1</v>
      </c>
      <c r="Q1439" s="158"/>
      <c r="R1439" s="159"/>
      <c r="S1439" s="160"/>
      <c r="T1439" s="161"/>
      <c r="U1439" s="156"/>
      <c r="V1439" s="162"/>
      <c r="W1439" s="163"/>
      <c r="X1439" s="164"/>
      <c r="Y1439" s="159"/>
      <c r="Z1439" s="161"/>
      <c r="AA1439" s="165"/>
      <c r="AB1439" s="154" t="s">
        <v>1092</v>
      </c>
      <c r="AD1439" s="154" t="s">
        <v>340</v>
      </c>
      <c r="AE1439" s="155"/>
      <c r="AF1439" s="154" t="s">
        <v>5469</v>
      </c>
      <c r="AL1439" s="171"/>
      <c r="AO1439" s="155"/>
      <c r="AP1439" s="155"/>
      <c r="AQ1439" s="156"/>
      <c r="AR1439" s="157"/>
      <c r="AS1439" s="158"/>
      <c r="AT1439" s="159"/>
      <c r="AU1439" s="161"/>
      <c r="AV1439" s="156"/>
      <c r="AW1439" s="162"/>
      <c r="AX1439" s="163"/>
      <c r="AY1439" s="164"/>
      <c r="AZ1439" s="159"/>
      <c r="BA1439" s="161"/>
      <c r="BB1439" s="165"/>
      <c r="BE1439" s="155"/>
    </row>
    <row r="1440" spans="1:58" s="154" customFormat="1" ht="15" customHeight="1">
      <c r="A1440" s="153" t="s">
        <v>5461</v>
      </c>
      <c r="B1440" s="153" t="s">
        <v>5470</v>
      </c>
      <c r="C1440" s="154" t="s">
        <v>5491</v>
      </c>
      <c r="D1440" s="170">
        <v>4</v>
      </c>
      <c r="E1440" s="154">
        <v>2</v>
      </c>
      <c r="G1440" s="154" t="s">
        <v>1396</v>
      </c>
      <c r="H1440" s="154" t="s">
        <v>5471</v>
      </c>
      <c r="J1440" s="171" t="s">
        <v>257</v>
      </c>
      <c r="K1440" s="154" t="s">
        <v>199</v>
      </c>
      <c r="L1440" s="154">
        <v>4</v>
      </c>
      <c r="N1440" s="155">
        <v>1</v>
      </c>
      <c r="O1440" s="156"/>
      <c r="P1440" s="157">
        <v>2</v>
      </c>
      <c r="Q1440" s="158"/>
      <c r="R1440" s="159"/>
      <c r="S1440" s="160"/>
      <c r="T1440" s="161"/>
      <c r="U1440" s="156"/>
      <c r="V1440" s="162"/>
      <c r="W1440" s="163"/>
      <c r="X1440" s="164"/>
      <c r="Y1440" s="159"/>
      <c r="Z1440" s="161"/>
      <c r="AA1440" s="165"/>
      <c r="AB1440" s="154" t="s">
        <v>1084</v>
      </c>
      <c r="AD1440" s="154" t="s">
        <v>1398</v>
      </c>
      <c r="AE1440" s="155"/>
      <c r="AF1440" s="154" t="s">
        <v>5472</v>
      </c>
      <c r="AL1440" s="171"/>
      <c r="AO1440" s="155"/>
      <c r="AP1440" s="155"/>
      <c r="AQ1440" s="156"/>
      <c r="AR1440" s="157"/>
      <c r="AS1440" s="158"/>
      <c r="AT1440" s="159"/>
      <c r="AU1440" s="161"/>
      <c r="AV1440" s="156"/>
      <c r="AW1440" s="162"/>
      <c r="AX1440" s="163"/>
      <c r="AY1440" s="164"/>
      <c r="AZ1440" s="159"/>
      <c r="BA1440" s="161"/>
      <c r="BB1440" s="165"/>
      <c r="BE1440" s="155"/>
    </row>
    <row r="1441" spans="1:59" s="154" customFormat="1" ht="15" customHeight="1">
      <c r="A1441" s="153" t="s">
        <v>5461</v>
      </c>
      <c r="B1441" s="153" t="s">
        <v>5473</v>
      </c>
      <c r="C1441" s="154" t="s">
        <v>5491</v>
      </c>
      <c r="D1441" s="170">
        <v>5</v>
      </c>
      <c r="E1441" s="154">
        <v>2</v>
      </c>
      <c r="G1441" s="154" t="s">
        <v>1730</v>
      </c>
      <c r="J1441" s="154" t="s">
        <v>27</v>
      </c>
      <c r="K1441" s="154" t="s">
        <v>201</v>
      </c>
      <c r="L1441" s="154">
        <v>2</v>
      </c>
      <c r="N1441" s="154">
        <v>3</v>
      </c>
      <c r="O1441" s="156">
        <v>1</v>
      </c>
      <c r="P1441" s="157">
        <v>2</v>
      </c>
      <c r="Q1441" s="158"/>
      <c r="R1441" s="159"/>
      <c r="S1441" s="160"/>
      <c r="T1441" s="161"/>
      <c r="U1441" s="156"/>
      <c r="V1441" s="162"/>
      <c r="W1441" s="163"/>
      <c r="X1441" s="164"/>
      <c r="Y1441" s="159"/>
      <c r="Z1441" s="161"/>
      <c r="AA1441" s="165"/>
      <c r="AB1441" s="154" t="s">
        <v>2399</v>
      </c>
      <c r="AD1441" s="154" t="s">
        <v>1731</v>
      </c>
      <c r="AF1441" s="154" t="s">
        <v>5474</v>
      </c>
      <c r="AO1441" s="155"/>
      <c r="AQ1441" s="156"/>
      <c r="AR1441" s="157"/>
      <c r="AS1441" s="158"/>
      <c r="AT1441" s="159"/>
      <c r="AU1441" s="161"/>
      <c r="AV1441" s="156"/>
      <c r="AW1441" s="162"/>
      <c r="AX1441" s="163"/>
      <c r="AY1441" s="164"/>
      <c r="AZ1441" s="159"/>
      <c r="BA1441" s="161"/>
      <c r="BB1441" s="165"/>
      <c r="BE1441" s="155"/>
    </row>
    <row r="1442" spans="1:59" s="154" customFormat="1" ht="15" customHeight="1">
      <c r="A1442" s="153" t="s">
        <v>5461</v>
      </c>
      <c r="B1442" s="169" t="s">
        <v>5475</v>
      </c>
      <c r="C1442" s="154" t="s">
        <v>5491</v>
      </c>
      <c r="D1442" s="170">
        <v>6</v>
      </c>
      <c r="E1442" s="154">
        <v>2</v>
      </c>
      <c r="G1442" s="154" t="s">
        <v>1411</v>
      </c>
      <c r="J1442" s="154" t="s">
        <v>27</v>
      </c>
      <c r="K1442" s="154" t="s">
        <v>201</v>
      </c>
      <c r="L1442" s="154">
        <v>2</v>
      </c>
      <c r="N1442" s="154">
        <v>0</v>
      </c>
      <c r="O1442" s="156"/>
      <c r="P1442" s="157">
        <v>1</v>
      </c>
      <c r="Q1442" s="158"/>
      <c r="R1442" s="159">
        <v>2</v>
      </c>
      <c r="S1442" s="160"/>
      <c r="T1442" s="161"/>
      <c r="U1442" s="156"/>
      <c r="V1442" s="162"/>
      <c r="W1442" s="163"/>
      <c r="X1442" s="164"/>
      <c r="Y1442" s="159"/>
      <c r="Z1442" s="161"/>
      <c r="AA1442" s="165"/>
      <c r="AB1442" s="154" t="s">
        <v>5476</v>
      </c>
      <c r="AD1442" s="154" t="s">
        <v>1412</v>
      </c>
      <c r="AF1442" s="154" t="s">
        <v>5477</v>
      </c>
      <c r="AO1442" s="155"/>
      <c r="AQ1442" s="156"/>
      <c r="AR1442" s="157"/>
      <c r="AS1442" s="158"/>
      <c r="AT1442" s="159"/>
      <c r="AU1442" s="161"/>
      <c r="AV1442" s="156"/>
      <c r="AW1442" s="162"/>
      <c r="AX1442" s="163"/>
      <c r="AY1442" s="164"/>
      <c r="AZ1442" s="159"/>
      <c r="BA1442" s="161"/>
      <c r="BB1442" s="165"/>
      <c r="BE1442" s="155"/>
    </row>
    <row r="1443" spans="1:59" s="154" customFormat="1" ht="15" customHeight="1">
      <c r="A1443" s="153" t="s">
        <v>5461</v>
      </c>
      <c r="B1443" s="169" t="s">
        <v>5478</v>
      </c>
      <c r="C1443" s="154" t="s">
        <v>5491</v>
      </c>
      <c r="D1443" s="170">
        <v>7</v>
      </c>
      <c r="E1443" s="154">
        <v>2</v>
      </c>
      <c r="G1443" s="154" t="s">
        <v>1421</v>
      </c>
      <c r="J1443" s="154" t="s">
        <v>257</v>
      </c>
      <c r="K1443" s="154" t="s">
        <v>200</v>
      </c>
      <c r="L1443" s="154">
        <v>2</v>
      </c>
      <c r="N1443" s="154">
        <v>4</v>
      </c>
      <c r="O1443" s="156"/>
      <c r="P1443" s="157">
        <v>1</v>
      </c>
      <c r="Q1443" s="158"/>
      <c r="R1443" s="159"/>
      <c r="S1443" s="160"/>
      <c r="T1443" s="161"/>
      <c r="U1443" s="156"/>
      <c r="V1443" s="162"/>
      <c r="W1443" s="163"/>
      <c r="X1443" s="164"/>
      <c r="Y1443" s="159"/>
      <c r="Z1443" s="161"/>
      <c r="AA1443" s="165"/>
      <c r="AB1443" s="154" t="s">
        <v>205</v>
      </c>
      <c r="AC1443" s="154" t="s">
        <v>378</v>
      </c>
      <c r="AD1443" s="154" t="s">
        <v>279</v>
      </c>
      <c r="AF1443" s="154" t="s">
        <v>5479</v>
      </c>
      <c r="AO1443" s="155"/>
      <c r="AQ1443" s="156"/>
      <c r="AR1443" s="157"/>
      <c r="AS1443" s="158"/>
      <c r="AT1443" s="159"/>
      <c r="AU1443" s="161"/>
      <c r="AV1443" s="156"/>
      <c r="AW1443" s="162"/>
      <c r="AX1443" s="163"/>
      <c r="AY1443" s="164"/>
      <c r="AZ1443" s="159"/>
      <c r="BA1443" s="161"/>
      <c r="BB1443" s="165"/>
      <c r="BE1443" s="155"/>
    </row>
    <row r="1444" spans="1:59" s="154" customFormat="1" ht="15" customHeight="1">
      <c r="A1444" s="153" t="s">
        <v>5461</v>
      </c>
      <c r="B1444" s="153" t="s">
        <v>5480</v>
      </c>
      <c r="C1444" s="154" t="s">
        <v>5491</v>
      </c>
      <c r="D1444" s="170">
        <v>8</v>
      </c>
      <c r="E1444" s="154">
        <v>2</v>
      </c>
      <c r="G1444" s="154" t="s">
        <v>1427</v>
      </c>
      <c r="J1444" s="154" t="s">
        <v>257</v>
      </c>
      <c r="K1444" s="154" t="s">
        <v>200</v>
      </c>
      <c r="L1444" s="154">
        <v>3</v>
      </c>
      <c r="N1444" s="154">
        <v>2</v>
      </c>
      <c r="O1444" s="156">
        <v>2</v>
      </c>
      <c r="P1444" s="157"/>
      <c r="Q1444" s="158"/>
      <c r="R1444" s="159"/>
      <c r="S1444" s="160"/>
      <c r="T1444" s="161"/>
      <c r="U1444" s="156"/>
      <c r="V1444" s="162"/>
      <c r="W1444" s="163"/>
      <c r="X1444" s="164"/>
      <c r="Y1444" s="159"/>
      <c r="Z1444" s="161"/>
      <c r="AA1444" s="165"/>
      <c r="AB1444" s="154" t="s">
        <v>1094</v>
      </c>
      <c r="AC1444" s="154" t="s">
        <v>378</v>
      </c>
      <c r="AD1444" s="154" t="s">
        <v>279</v>
      </c>
      <c r="AF1444" s="154" t="s">
        <v>5481</v>
      </c>
      <c r="AO1444" s="155"/>
      <c r="AQ1444" s="156"/>
      <c r="AR1444" s="157"/>
      <c r="AS1444" s="158"/>
      <c r="AT1444" s="159"/>
      <c r="AU1444" s="161"/>
      <c r="AV1444" s="156"/>
      <c r="AW1444" s="162"/>
      <c r="AX1444" s="163"/>
      <c r="AY1444" s="164"/>
      <c r="AZ1444" s="159"/>
      <c r="BA1444" s="161"/>
      <c r="BB1444" s="165"/>
      <c r="BE1444" s="155"/>
    </row>
    <row r="1445" spans="1:59" s="154" customFormat="1" ht="15" customHeight="1">
      <c r="A1445" s="153" t="s">
        <v>5461</v>
      </c>
      <c r="B1445" s="153" t="s">
        <v>5482</v>
      </c>
      <c r="C1445" s="154" t="s">
        <v>5491</v>
      </c>
      <c r="D1445" s="170">
        <v>9</v>
      </c>
      <c r="E1445" s="154">
        <v>2</v>
      </c>
      <c r="G1445" s="154" t="s">
        <v>1738</v>
      </c>
      <c r="J1445" s="154" t="s">
        <v>27</v>
      </c>
      <c r="K1445" s="154" t="s">
        <v>202</v>
      </c>
      <c r="L1445" s="154">
        <v>2</v>
      </c>
      <c r="N1445" s="172">
        <v>2</v>
      </c>
      <c r="O1445" s="156"/>
      <c r="P1445" s="157"/>
      <c r="Q1445" s="158">
        <v>2</v>
      </c>
      <c r="R1445" s="159">
        <v>1</v>
      </c>
      <c r="S1445" s="160"/>
      <c r="T1445" s="161"/>
      <c r="U1445" s="156"/>
      <c r="V1445" s="162"/>
      <c r="W1445" s="163"/>
      <c r="X1445" s="164"/>
      <c r="Y1445" s="159"/>
      <c r="Z1445" s="161"/>
      <c r="AA1445" s="165"/>
      <c r="AB1445" s="154" t="s">
        <v>5483</v>
      </c>
      <c r="AD1445" s="154" t="s">
        <v>372</v>
      </c>
      <c r="AF1445" s="154" t="s">
        <v>5484</v>
      </c>
      <c r="AO1445" s="155"/>
      <c r="AQ1445" s="156"/>
      <c r="AR1445" s="157"/>
      <c r="AS1445" s="158"/>
      <c r="AT1445" s="159"/>
      <c r="AU1445" s="161"/>
      <c r="AV1445" s="156"/>
      <c r="AW1445" s="162"/>
      <c r="AX1445" s="163"/>
      <c r="AY1445" s="164"/>
      <c r="AZ1445" s="159"/>
      <c r="BA1445" s="161"/>
      <c r="BB1445" s="165"/>
      <c r="BE1445" s="155"/>
    </row>
    <row r="1446" spans="1:59" s="154" customFormat="1" ht="15" customHeight="1">
      <c r="A1446" s="153" t="s">
        <v>5461</v>
      </c>
      <c r="B1446" s="153" t="s">
        <v>5485</v>
      </c>
      <c r="C1446" s="154" t="s">
        <v>5491</v>
      </c>
      <c r="D1446" s="170">
        <v>10</v>
      </c>
      <c r="E1446" s="154">
        <v>2</v>
      </c>
      <c r="G1446" s="154" t="s">
        <v>1995</v>
      </c>
      <c r="J1446" s="154" t="s">
        <v>312</v>
      </c>
      <c r="K1446" s="154" t="s">
        <v>202</v>
      </c>
      <c r="L1446" s="154">
        <v>3</v>
      </c>
      <c r="N1446" s="154">
        <v>1</v>
      </c>
      <c r="O1446" s="156"/>
      <c r="P1446" s="157"/>
      <c r="Q1446" s="158"/>
      <c r="R1446" s="159"/>
      <c r="S1446" s="160">
        <v>2</v>
      </c>
      <c r="T1446" s="161"/>
      <c r="U1446" s="156"/>
      <c r="V1446" s="162"/>
      <c r="W1446" s="163"/>
      <c r="X1446" s="164"/>
      <c r="Y1446" s="159"/>
      <c r="Z1446" s="161"/>
      <c r="AA1446" s="165"/>
      <c r="AB1446" s="154" t="s">
        <v>1082</v>
      </c>
      <c r="AC1446" s="154" t="s">
        <v>275</v>
      </c>
      <c r="AD1446" s="154" t="s">
        <v>412</v>
      </c>
      <c r="AF1446" s="154" t="s">
        <v>5486</v>
      </c>
      <c r="AO1446" s="155"/>
      <c r="AQ1446" s="156"/>
      <c r="AR1446" s="157"/>
      <c r="AS1446" s="158"/>
      <c r="AT1446" s="159"/>
      <c r="AU1446" s="161"/>
      <c r="AV1446" s="156"/>
      <c r="AW1446" s="162"/>
      <c r="AX1446" s="163"/>
      <c r="AY1446" s="164"/>
      <c r="AZ1446" s="159"/>
      <c r="BA1446" s="161"/>
      <c r="BB1446" s="165"/>
      <c r="BE1446" s="155"/>
    </row>
    <row r="1447" spans="1:59" s="154" customFormat="1" ht="15" customHeight="1">
      <c r="A1447" s="153" t="s">
        <v>5461</v>
      </c>
      <c r="B1447" s="153" t="s">
        <v>5487</v>
      </c>
      <c r="C1447" s="154" t="s">
        <v>5491</v>
      </c>
      <c r="D1447" s="170">
        <v>11</v>
      </c>
      <c r="E1447" s="154">
        <v>2</v>
      </c>
      <c r="G1447" s="154" t="s">
        <v>5488</v>
      </c>
      <c r="J1447" s="154" t="s">
        <v>28</v>
      </c>
      <c r="K1447" s="154" t="s">
        <v>26</v>
      </c>
      <c r="M1447" s="154" t="s">
        <v>691</v>
      </c>
      <c r="O1447" s="156"/>
      <c r="P1447" s="157"/>
      <c r="Q1447" s="158"/>
      <c r="R1447" s="159"/>
      <c r="S1447" s="160"/>
      <c r="T1447" s="161"/>
      <c r="U1447" s="156"/>
      <c r="V1447" s="162"/>
      <c r="W1447" s="163"/>
      <c r="X1447" s="164"/>
      <c r="Y1447" s="159"/>
      <c r="Z1447" s="161"/>
      <c r="AA1447" s="165"/>
      <c r="AD1447" s="154" t="s">
        <v>5489</v>
      </c>
      <c r="AF1447" s="154" t="s">
        <v>5490</v>
      </c>
      <c r="AO1447" s="155"/>
      <c r="AQ1447" s="156"/>
      <c r="AR1447" s="157"/>
      <c r="AS1447" s="158"/>
      <c r="AT1447" s="159"/>
      <c r="AU1447" s="161"/>
      <c r="AV1447" s="156"/>
      <c r="AW1447" s="162"/>
      <c r="AX1447" s="163"/>
      <c r="AY1447" s="164"/>
      <c r="AZ1447" s="159"/>
      <c r="BA1447" s="161"/>
      <c r="BB1447" s="165"/>
      <c r="BE1447" s="155"/>
    </row>
    <row r="1448" spans="1:59" s="171" customFormat="1" ht="15" customHeight="1">
      <c r="A1448" s="153" t="s">
        <v>5461</v>
      </c>
      <c r="B1448" s="154" t="s">
        <v>5492</v>
      </c>
      <c r="C1448" s="154" t="s">
        <v>5491</v>
      </c>
      <c r="D1448" s="170">
        <v>12</v>
      </c>
      <c r="E1448" s="171">
        <v>1</v>
      </c>
      <c r="F1448" s="171" t="s">
        <v>5493</v>
      </c>
      <c r="G1448" s="171" t="s">
        <v>5493</v>
      </c>
      <c r="J1448" s="171" t="s">
        <v>618</v>
      </c>
      <c r="K1448" s="171" t="s">
        <v>2426</v>
      </c>
      <c r="N1448" s="170"/>
      <c r="O1448" s="156"/>
      <c r="P1448" s="157"/>
      <c r="Q1448" s="158"/>
      <c r="R1448" s="159"/>
      <c r="S1448" s="160"/>
      <c r="T1448" s="161"/>
      <c r="U1448" s="156"/>
      <c r="V1448" s="162"/>
      <c r="W1448" s="163"/>
      <c r="X1448" s="164"/>
      <c r="Y1448" s="159"/>
      <c r="Z1448" s="161"/>
      <c r="AA1448" s="165"/>
      <c r="AE1448" s="170"/>
      <c r="AF1448" s="171" t="s">
        <v>5632</v>
      </c>
      <c r="AI1448" s="171" t="s">
        <v>5493</v>
      </c>
      <c r="AL1448" s="171" t="s">
        <v>618</v>
      </c>
      <c r="AM1448" s="171" t="s">
        <v>2426</v>
      </c>
      <c r="AQ1448" s="156"/>
      <c r="AR1448" s="157"/>
      <c r="AS1448" s="158"/>
      <c r="AT1448" s="159"/>
      <c r="AU1448" s="161"/>
      <c r="AV1448" s="156"/>
      <c r="AW1448" s="162"/>
      <c r="AX1448" s="163"/>
      <c r="AY1448" s="164"/>
      <c r="AZ1448" s="159"/>
      <c r="BA1448" s="161"/>
      <c r="BB1448" s="165"/>
      <c r="BF1448" s="170"/>
      <c r="BG1448" s="171" t="s">
        <v>5633</v>
      </c>
    </row>
    <row r="1449" spans="1:59" s="154" customFormat="1" ht="15" customHeight="1">
      <c r="A1449" s="153" t="s">
        <v>5461</v>
      </c>
      <c r="B1449" s="154" t="s">
        <v>5494</v>
      </c>
      <c r="C1449" s="154" t="s">
        <v>5491</v>
      </c>
      <c r="D1449" s="170">
        <v>13</v>
      </c>
      <c r="E1449" s="154">
        <v>1</v>
      </c>
      <c r="F1449" s="171" t="s">
        <v>5493</v>
      </c>
      <c r="G1449" s="154" t="s">
        <v>5495</v>
      </c>
      <c r="J1449" s="171" t="s">
        <v>31</v>
      </c>
      <c r="K1449" s="154" t="s">
        <v>2426</v>
      </c>
      <c r="N1449" s="155"/>
      <c r="O1449" s="156"/>
      <c r="P1449" s="157"/>
      <c r="Q1449" s="158"/>
      <c r="R1449" s="159"/>
      <c r="S1449" s="160"/>
      <c r="T1449" s="161"/>
      <c r="U1449" s="156"/>
      <c r="V1449" s="162"/>
      <c r="W1449" s="163"/>
      <c r="X1449" s="164"/>
      <c r="Y1449" s="159"/>
      <c r="Z1449" s="161"/>
      <c r="AA1449" s="165"/>
      <c r="AD1449" s="154" t="s">
        <v>242</v>
      </c>
      <c r="AE1449" s="155"/>
      <c r="AI1449" s="154" t="s">
        <v>5495</v>
      </c>
      <c r="AL1449" s="171" t="s">
        <v>31</v>
      </c>
      <c r="AM1449" s="154" t="s">
        <v>2426</v>
      </c>
      <c r="AO1449" s="155"/>
      <c r="AP1449" s="155"/>
      <c r="AQ1449" s="156"/>
      <c r="AR1449" s="157"/>
      <c r="AS1449" s="158"/>
      <c r="AT1449" s="159"/>
      <c r="AU1449" s="161"/>
      <c r="AV1449" s="156"/>
      <c r="AW1449" s="162"/>
      <c r="AX1449" s="163"/>
      <c r="AY1449" s="164">
        <v>4</v>
      </c>
      <c r="AZ1449" s="159" t="s">
        <v>1073</v>
      </c>
      <c r="BA1449" s="161"/>
      <c r="BB1449" s="165"/>
      <c r="BE1449" s="155" t="s">
        <v>242</v>
      </c>
      <c r="BG1449" s="154" t="s">
        <v>5634</v>
      </c>
    </row>
    <row r="1450" spans="1:59" s="154" customFormat="1" ht="15" customHeight="1">
      <c r="A1450" s="153" t="s">
        <v>5461</v>
      </c>
      <c r="B1450" s="153" t="s">
        <v>5496</v>
      </c>
      <c r="C1450" s="154" t="s">
        <v>5491</v>
      </c>
      <c r="D1450" s="170">
        <v>14</v>
      </c>
      <c r="E1450" s="154">
        <v>2</v>
      </c>
      <c r="F1450" s="171" t="s">
        <v>5493</v>
      </c>
      <c r="G1450" s="154" t="s">
        <v>5497</v>
      </c>
      <c r="J1450" s="171" t="s">
        <v>29</v>
      </c>
      <c r="K1450" s="154" t="s">
        <v>2426</v>
      </c>
      <c r="N1450" s="155"/>
      <c r="O1450" s="156"/>
      <c r="P1450" s="157"/>
      <c r="Q1450" s="158">
        <v>2</v>
      </c>
      <c r="R1450" s="159">
        <v>4</v>
      </c>
      <c r="S1450" s="160"/>
      <c r="T1450" s="161">
        <v>3</v>
      </c>
      <c r="U1450" s="156"/>
      <c r="V1450" s="162">
        <v>1</v>
      </c>
      <c r="W1450" s="163"/>
      <c r="X1450" s="164"/>
      <c r="Y1450" s="159"/>
      <c r="Z1450" s="161"/>
      <c r="AA1450" s="165"/>
      <c r="AD1450" s="154" t="s">
        <v>5498</v>
      </c>
      <c r="AE1450" s="155"/>
      <c r="AF1450" s="154" t="s">
        <v>5635</v>
      </c>
      <c r="AL1450" s="171"/>
      <c r="AO1450" s="155"/>
      <c r="AP1450" s="155"/>
      <c r="AQ1450" s="156"/>
      <c r="AR1450" s="157"/>
      <c r="AS1450" s="158"/>
      <c r="AT1450" s="159"/>
      <c r="AU1450" s="161"/>
      <c r="AV1450" s="156"/>
      <c r="AW1450" s="162"/>
      <c r="AX1450" s="163"/>
      <c r="AY1450" s="164"/>
      <c r="AZ1450" s="159"/>
      <c r="BA1450" s="161"/>
      <c r="BB1450" s="165"/>
      <c r="BE1450" s="155"/>
    </row>
    <row r="1451" spans="1:59" s="154" customFormat="1" ht="15" customHeight="1">
      <c r="A1451" s="153" t="s">
        <v>5461</v>
      </c>
      <c r="B1451" s="153" t="s">
        <v>5499</v>
      </c>
      <c r="C1451" s="154" t="s">
        <v>5491</v>
      </c>
      <c r="D1451" s="170">
        <v>15</v>
      </c>
      <c r="E1451" s="154">
        <v>1</v>
      </c>
      <c r="F1451" s="154" t="s">
        <v>5500</v>
      </c>
      <c r="G1451" s="154" t="s">
        <v>5500</v>
      </c>
      <c r="J1451" s="171" t="s">
        <v>618</v>
      </c>
      <c r="K1451" s="154" t="s">
        <v>2426</v>
      </c>
      <c r="N1451" s="155"/>
      <c r="O1451" s="156"/>
      <c r="P1451" s="157"/>
      <c r="Q1451" s="158"/>
      <c r="R1451" s="159"/>
      <c r="S1451" s="160"/>
      <c r="T1451" s="161"/>
      <c r="U1451" s="156"/>
      <c r="V1451" s="162"/>
      <c r="W1451" s="163"/>
      <c r="X1451" s="164"/>
      <c r="Y1451" s="159"/>
      <c r="Z1451" s="161"/>
      <c r="AA1451" s="165"/>
      <c r="AE1451" s="155"/>
      <c r="AF1451" s="154" t="s">
        <v>5636</v>
      </c>
      <c r="AI1451" s="154" t="s">
        <v>5500</v>
      </c>
      <c r="AL1451" s="171" t="s">
        <v>618</v>
      </c>
      <c r="AM1451" s="154" t="s">
        <v>2426</v>
      </c>
      <c r="AO1451" s="155"/>
      <c r="AP1451" s="155"/>
      <c r="AQ1451" s="156"/>
      <c r="AR1451" s="157"/>
      <c r="AS1451" s="158"/>
      <c r="AT1451" s="159"/>
      <c r="AU1451" s="161"/>
      <c r="AV1451" s="156"/>
      <c r="AW1451" s="162"/>
      <c r="AX1451" s="163"/>
      <c r="AY1451" s="164"/>
      <c r="AZ1451" s="159"/>
      <c r="BA1451" s="161"/>
      <c r="BB1451" s="165"/>
      <c r="BE1451" s="155"/>
      <c r="BG1451" s="154" t="s">
        <v>5501</v>
      </c>
    </row>
    <row r="1452" spans="1:59" s="154" customFormat="1" ht="15" customHeight="1">
      <c r="A1452" s="153" t="s">
        <v>5461</v>
      </c>
      <c r="B1452" s="153" t="s">
        <v>5502</v>
      </c>
      <c r="C1452" s="154" t="s">
        <v>5491</v>
      </c>
      <c r="D1452" s="170">
        <v>16</v>
      </c>
      <c r="E1452" s="154">
        <v>1</v>
      </c>
      <c r="F1452" s="154" t="s">
        <v>5500</v>
      </c>
      <c r="G1452" s="154" t="s">
        <v>1571</v>
      </c>
      <c r="J1452" s="154" t="s">
        <v>31</v>
      </c>
      <c r="K1452" s="154" t="s">
        <v>2426</v>
      </c>
      <c r="O1452" s="156"/>
      <c r="P1452" s="157"/>
      <c r="Q1452" s="158"/>
      <c r="R1452" s="159"/>
      <c r="S1452" s="160"/>
      <c r="T1452" s="161"/>
      <c r="U1452" s="156"/>
      <c r="V1452" s="162"/>
      <c r="W1452" s="163"/>
      <c r="X1452" s="164"/>
      <c r="Y1452" s="159"/>
      <c r="Z1452" s="161"/>
      <c r="AA1452" s="165"/>
      <c r="AD1452" s="154" t="s">
        <v>1572</v>
      </c>
      <c r="AI1452" s="154" t="s">
        <v>1571</v>
      </c>
      <c r="AL1452" s="154" t="s">
        <v>31</v>
      </c>
      <c r="AM1452" s="154" t="s">
        <v>2426</v>
      </c>
      <c r="AO1452" s="155"/>
      <c r="AQ1452" s="156"/>
      <c r="AR1452" s="157"/>
      <c r="AS1452" s="158"/>
      <c r="AT1452" s="159"/>
      <c r="AU1452" s="161"/>
      <c r="AV1452" s="156"/>
      <c r="AW1452" s="162"/>
      <c r="AX1452" s="163"/>
      <c r="AY1452" s="164">
        <v>4</v>
      </c>
      <c r="AZ1452" s="159">
        <v>0</v>
      </c>
      <c r="BA1452" s="161"/>
      <c r="BB1452" s="165"/>
      <c r="BE1452" s="155" t="s">
        <v>1572</v>
      </c>
      <c r="BG1452" s="154" t="s">
        <v>5637</v>
      </c>
    </row>
    <row r="1453" spans="1:59" s="154" customFormat="1" ht="15" customHeight="1">
      <c r="A1453" s="153" t="s">
        <v>5461</v>
      </c>
      <c r="B1453" s="169" t="s">
        <v>5503</v>
      </c>
      <c r="C1453" s="154" t="s">
        <v>5491</v>
      </c>
      <c r="D1453" s="170">
        <v>17</v>
      </c>
      <c r="E1453" s="154">
        <v>1</v>
      </c>
      <c r="F1453" s="154" t="s">
        <v>5500</v>
      </c>
      <c r="G1453" s="154" t="s">
        <v>5504</v>
      </c>
      <c r="J1453" s="154" t="s">
        <v>31</v>
      </c>
      <c r="K1453" s="154" t="s">
        <v>2426</v>
      </c>
      <c r="O1453" s="156"/>
      <c r="P1453" s="157"/>
      <c r="Q1453" s="158"/>
      <c r="R1453" s="159"/>
      <c r="S1453" s="160"/>
      <c r="T1453" s="161"/>
      <c r="U1453" s="156"/>
      <c r="V1453" s="162"/>
      <c r="W1453" s="163"/>
      <c r="X1453" s="164"/>
      <c r="Y1453" s="159"/>
      <c r="Z1453" s="161"/>
      <c r="AA1453" s="165"/>
      <c r="AD1453" s="154" t="s">
        <v>1572</v>
      </c>
      <c r="AI1453" s="154" t="s">
        <v>5504</v>
      </c>
      <c r="AL1453" s="154" t="s">
        <v>31</v>
      </c>
      <c r="AM1453" s="154" t="s">
        <v>2426</v>
      </c>
      <c r="AO1453" s="155"/>
      <c r="AQ1453" s="156"/>
      <c r="AR1453" s="157"/>
      <c r="AS1453" s="158"/>
      <c r="AT1453" s="159"/>
      <c r="AU1453" s="161"/>
      <c r="AV1453" s="156"/>
      <c r="AW1453" s="162"/>
      <c r="AX1453" s="163"/>
      <c r="AY1453" s="164">
        <v>1</v>
      </c>
      <c r="AZ1453" s="159">
        <v>0</v>
      </c>
      <c r="BA1453" s="161"/>
      <c r="BB1453" s="165"/>
      <c r="BE1453" s="155" t="s">
        <v>1572</v>
      </c>
      <c r="BG1453" s="154" t="s">
        <v>5505</v>
      </c>
    </row>
    <row r="1454" spans="1:59" s="154" customFormat="1" ht="15" customHeight="1">
      <c r="A1454" s="153" t="s">
        <v>5461</v>
      </c>
      <c r="B1454" s="169" t="s">
        <v>5506</v>
      </c>
      <c r="C1454" s="154" t="s">
        <v>5491</v>
      </c>
      <c r="D1454" s="170">
        <v>18</v>
      </c>
      <c r="E1454" s="154">
        <v>2</v>
      </c>
      <c r="F1454" s="154" t="s">
        <v>5500</v>
      </c>
      <c r="G1454" s="154" t="s">
        <v>5507</v>
      </c>
      <c r="J1454" s="154" t="s">
        <v>28</v>
      </c>
      <c r="K1454" s="154" t="s">
        <v>2426</v>
      </c>
      <c r="O1454" s="156"/>
      <c r="P1454" s="157"/>
      <c r="Q1454" s="158"/>
      <c r="R1454" s="159"/>
      <c r="S1454" s="160"/>
      <c r="T1454" s="161"/>
      <c r="U1454" s="156"/>
      <c r="V1454" s="162"/>
      <c r="W1454" s="163"/>
      <c r="X1454" s="164"/>
      <c r="Y1454" s="159"/>
      <c r="Z1454" s="161"/>
      <c r="AA1454" s="165"/>
      <c r="AD1454" s="154" t="s">
        <v>5508</v>
      </c>
      <c r="AF1454" s="154" t="s">
        <v>5638</v>
      </c>
      <c r="AO1454" s="155"/>
      <c r="AQ1454" s="156"/>
      <c r="AR1454" s="157"/>
      <c r="AS1454" s="158"/>
      <c r="AT1454" s="159"/>
      <c r="AU1454" s="161"/>
      <c r="AV1454" s="156"/>
      <c r="AW1454" s="162"/>
      <c r="AX1454" s="163"/>
      <c r="AY1454" s="164"/>
      <c r="AZ1454" s="159"/>
      <c r="BA1454" s="161"/>
      <c r="BB1454" s="165"/>
      <c r="BE1454" s="155"/>
    </row>
    <row r="1455" spans="1:59" s="154" customFormat="1" ht="15" customHeight="1">
      <c r="A1455" s="153" t="s">
        <v>5461</v>
      </c>
      <c r="B1455" s="153" t="s">
        <v>5509</v>
      </c>
      <c r="C1455" s="154" t="s">
        <v>5491</v>
      </c>
      <c r="D1455" s="170">
        <v>19</v>
      </c>
      <c r="E1455" s="154">
        <v>2</v>
      </c>
      <c r="F1455" s="154" t="s">
        <v>5500</v>
      </c>
      <c r="G1455" s="154" t="s">
        <v>5510</v>
      </c>
      <c r="J1455" s="154" t="s">
        <v>28</v>
      </c>
      <c r="K1455" s="154" t="s">
        <v>2426</v>
      </c>
      <c r="O1455" s="156"/>
      <c r="P1455" s="157"/>
      <c r="Q1455" s="158"/>
      <c r="R1455" s="159"/>
      <c r="S1455" s="160"/>
      <c r="T1455" s="161"/>
      <c r="U1455" s="156"/>
      <c r="V1455" s="162"/>
      <c r="W1455" s="163"/>
      <c r="X1455" s="164"/>
      <c r="Y1455" s="159"/>
      <c r="Z1455" s="161"/>
      <c r="AA1455" s="165"/>
      <c r="AD1455" s="154" t="s">
        <v>5508</v>
      </c>
      <c r="AF1455" s="154" t="s">
        <v>5639</v>
      </c>
      <c r="AO1455" s="155"/>
      <c r="AQ1455" s="156"/>
      <c r="AR1455" s="157"/>
      <c r="AS1455" s="158"/>
      <c r="AT1455" s="159"/>
      <c r="AU1455" s="161"/>
      <c r="AV1455" s="156"/>
      <c r="AW1455" s="162"/>
      <c r="AX1455" s="163"/>
      <c r="AY1455" s="164"/>
      <c r="AZ1455" s="159"/>
      <c r="BA1455" s="161"/>
      <c r="BB1455" s="165"/>
      <c r="BE1455" s="155"/>
    </row>
    <row r="1456" spans="1:59" s="154" customFormat="1" ht="15" customHeight="1">
      <c r="A1456" s="153" t="s">
        <v>5461</v>
      </c>
      <c r="B1456" s="153" t="s">
        <v>5511</v>
      </c>
      <c r="C1456" s="154" t="s">
        <v>5491</v>
      </c>
      <c r="D1456" s="170">
        <v>20</v>
      </c>
      <c r="E1456" s="154">
        <v>1</v>
      </c>
      <c r="F1456" s="154" t="s">
        <v>5512</v>
      </c>
      <c r="G1456" s="154" t="s">
        <v>5512</v>
      </c>
      <c r="J1456" s="154" t="s">
        <v>618</v>
      </c>
      <c r="K1456" s="154" t="s">
        <v>2426</v>
      </c>
      <c r="N1456" s="172"/>
      <c r="O1456" s="156"/>
      <c r="P1456" s="157"/>
      <c r="Q1456" s="158"/>
      <c r="R1456" s="159"/>
      <c r="S1456" s="160"/>
      <c r="T1456" s="161"/>
      <c r="U1456" s="156"/>
      <c r="V1456" s="162"/>
      <c r="W1456" s="163"/>
      <c r="X1456" s="164"/>
      <c r="Y1456" s="159"/>
      <c r="Z1456" s="161"/>
      <c r="AA1456" s="165"/>
      <c r="AF1456" s="154" t="s">
        <v>5640</v>
      </c>
      <c r="AI1456" s="154" t="s">
        <v>5512</v>
      </c>
      <c r="AL1456" s="154" t="s">
        <v>618</v>
      </c>
      <c r="AM1456" s="154" t="s">
        <v>2426</v>
      </c>
      <c r="AO1456" s="155"/>
      <c r="AQ1456" s="156"/>
      <c r="AR1456" s="157"/>
      <c r="AS1456" s="158"/>
      <c r="AT1456" s="159"/>
      <c r="AU1456" s="161"/>
      <c r="AV1456" s="156"/>
      <c r="AW1456" s="162"/>
      <c r="AX1456" s="163"/>
      <c r="AY1456" s="164"/>
      <c r="AZ1456" s="159"/>
      <c r="BA1456" s="161"/>
      <c r="BB1456" s="165"/>
      <c r="BE1456" s="155"/>
      <c r="BG1456" s="154" t="s">
        <v>5641</v>
      </c>
    </row>
    <row r="1457" spans="1:59" s="154" customFormat="1" ht="15" customHeight="1">
      <c r="A1457" s="153" t="s">
        <v>5461</v>
      </c>
      <c r="B1457" s="153" t="s">
        <v>5513</v>
      </c>
      <c r="C1457" s="154" t="s">
        <v>5491</v>
      </c>
      <c r="D1457" s="170">
        <v>21</v>
      </c>
      <c r="E1457" s="154">
        <v>1</v>
      </c>
      <c r="F1457" s="154" t="s">
        <v>5512</v>
      </c>
      <c r="G1457" s="154" t="s">
        <v>1770</v>
      </c>
      <c r="J1457" s="154" t="s">
        <v>31</v>
      </c>
      <c r="K1457" s="154" t="s">
        <v>2426</v>
      </c>
      <c r="O1457" s="156"/>
      <c r="P1457" s="157"/>
      <c r="Q1457" s="158"/>
      <c r="R1457" s="159"/>
      <c r="S1457" s="160"/>
      <c r="T1457" s="161"/>
      <c r="U1457" s="156"/>
      <c r="V1457" s="162"/>
      <c r="W1457" s="163"/>
      <c r="X1457" s="164"/>
      <c r="Y1457" s="159"/>
      <c r="Z1457" s="161"/>
      <c r="AA1457" s="165"/>
      <c r="AD1457" s="154" t="s">
        <v>1772</v>
      </c>
      <c r="AI1457" s="154" t="s">
        <v>1770</v>
      </c>
      <c r="AJ1457" s="154" t="s">
        <v>5514</v>
      </c>
      <c r="AL1457" s="154" t="s">
        <v>31</v>
      </c>
      <c r="AM1457" s="154" t="s">
        <v>2426</v>
      </c>
      <c r="AO1457" s="155"/>
      <c r="AQ1457" s="156"/>
      <c r="AR1457" s="157"/>
      <c r="AS1457" s="158"/>
      <c r="AT1457" s="159"/>
      <c r="AU1457" s="161"/>
      <c r="AV1457" s="156"/>
      <c r="AW1457" s="162"/>
      <c r="AX1457" s="163"/>
      <c r="AY1457" s="164">
        <v>3</v>
      </c>
      <c r="AZ1457" s="159" t="s">
        <v>1073</v>
      </c>
      <c r="BA1457" s="161"/>
      <c r="BB1457" s="165">
        <v>1</v>
      </c>
      <c r="BE1457" s="155" t="s">
        <v>1772</v>
      </c>
      <c r="BG1457" s="154" t="s">
        <v>5642</v>
      </c>
    </row>
    <row r="1458" spans="1:59" s="154" customFormat="1" ht="15" customHeight="1">
      <c r="A1458" s="153" t="s">
        <v>5461</v>
      </c>
      <c r="B1458" s="153" t="s">
        <v>5515</v>
      </c>
      <c r="C1458" s="154" t="s">
        <v>5491</v>
      </c>
      <c r="D1458" s="170">
        <v>22</v>
      </c>
      <c r="E1458" s="154">
        <v>1</v>
      </c>
      <c r="F1458" s="154" t="s">
        <v>5512</v>
      </c>
      <c r="G1458" s="154" t="s">
        <v>1770</v>
      </c>
      <c r="J1458" s="154" t="s">
        <v>31</v>
      </c>
      <c r="K1458" s="154" t="s">
        <v>2426</v>
      </c>
      <c r="O1458" s="156"/>
      <c r="P1458" s="157"/>
      <c r="Q1458" s="158"/>
      <c r="R1458" s="159"/>
      <c r="S1458" s="160"/>
      <c r="T1458" s="161"/>
      <c r="U1458" s="156"/>
      <c r="V1458" s="162"/>
      <c r="W1458" s="163"/>
      <c r="X1458" s="164"/>
      <c r="Y1458" s="159"/>
      <c r="Z1458" s="161"/>
      <c r="AA1458" s="165"/>
      <c r="AD1458" s="154" t="s">
        <v>1772</v>
      </c>
      <c r="AI1458" s="154" t="s">
        <v>1770</v>
      </c>
      <c r="AJ1458" s="154" t="s">
        <v>5516</v>
      </c>
      <c r="AL1458" s="154" t="s">
        <v>31</v>
      </c>
      <c r="AM1458" s="154" t="s">
        <v>2426</v>
      </c>
      <c r="AO1458" s="155"/>
      <c r="AQ1458" s="156"/>
      <c r="AR1458" s="157"/>
      <c r="AS1458" s="158"/>
      <c r="AT1458" s="159"/>
      <c r="AU1458" s="161"/>
      <c r="AV1458" s="156"/>
      <c r="AW1458" s="162"/>
      <c r="AX1458" s="163"/>
      <c r="AY1458" s="164">
        <v>5</v>
      </c>
      <c r="AZ1458" s="159">
        <v>0</v>
      </c>
      <c r="BA1458" s="161"/>
      <c r="BB1458" s="165"/>
      <c r="BE1458" s="155" t="s">
        <v>1772</v>
      </c>
      <c r="BG1458" s="154" t="s">
        <v>5643</v>
      </c>
    </row>
    <row r="1459" spans="1:59" s="154" customFormat="1" ht="15" customHeight="1">
      <c r="A1459" s="153" t="s">
        <v>5461</v>
      </c>
      <c r="B1459" s="153" t="s">
        <v>5517</v>
      </c>
      <c r="C1459" s="154" t="s">
        <v>5491</v>
      </c>
      <c r="D1459" s="170">
        <v>23</v>
      </c>
      <c r="E1459" s="154">
        <v>2</v>
      </c>
      <c r="F1459" s="154" t="s">
        <v>5512</v>
      </c>
      <c r="G1459" s="154" t="s">
        <v>5518</v>
      </c>
      <c r="J1459" s="154" t="s">
        <v>28</v>
      </c>
      <c r="K1459" s="154" t="s">
        <v>2426</v>
      </c>
      <c r="O1459" s="156"/>
      <c r="P1459" s="157"/>
      <c r="Q1459" s="158"/>
      <c r="R1459" s="159"/>
      <c r="S1459" s="160"/>
      <c r="T1459" s="161"/>
      <c r="U1459" s="156"/>
      <c r="V1459" s="162"/>
      <c r="W1459" s="163"/>
      <c r="X1459" s="164"/>
      <c r="Y1459" s="159"/>
      <c r="Z1459" s="161"/>
      <c r="AA1459" s="165"/>
      <c r="AD1459" s="154" t="s">
        <v>1663</v>
      </c>
      <c r="AF1459" s="154" t="s">
        <v>5644</v>
      </c>
      <c r="AO1459" s="155"/>
      <c r="AQ1459" s="156"/>
      <c r="AR1459" s="157"/>
      <c r="AS1459" s="158"/>
      <c r="AT1459" s="159"/>
      <c r="AU1459" s="161"/>
      <c r="AV1459" s="156"/>
      <c r="AW1459" s="162"/>
      <c r="AX1459" s="163"/>
      <c r="AY1459" s="164"/>
      <c r="AZ1459" s="159"/>
      <c r="BA1459" s="161"/>
      <c r="BB1459" s="165"/>
      <c r="BE1459" s="155"/>
    </row>
    <row r="1460" spans="1:59" s="154" customFormat="1" ht="15" customHeight="1">
      <c r="A1460" s="153" t="s">
        <v>5461</v>
      </c>
      <c r="B1460" s="153" t="s">
        <v>5519</v>
      </c>
      <c r="C1460" s="154" t="s">
        <v>5491</v>
      </c>
      <c r="D1460" s="170">
        <v>24</v>
      </c>
      <c r="E1460" s="154">
        <v>2</v>
      </c>
      <c r="F1460" s="154" t="s">
        <v>5512</v>
      </c>
      <c r="G1460" s="154" t="s">
        <v>5520</v>
      </c>
      <c r="J1460" s="154" t="s">
        <v>28</v>
      </c>
      <c r="K1460" s="154" t="s">
        <v>2426</v>
      </c>
      <c r="O1460" s="156"/>
      <c r="P1460" s="157"/>
      <c r="Q1460" s="158"/>
      <c r="R1460" s="159"/>
      <c r="S1460" s="160"/>
      <c r="T1460" s="161"/>
      <c r="U1460" s="156"/>
      <c r="V1460" s="162"/>
      <c r="W1460" s="163"/>
      <c r="X1460" s="164"/>
      <c r="Y1460" s="159"/>
      <c r="Z1460" s="161"/>
      <c r="AA1460" s="165">
        <v>0</v>
      </c>
      <c r="AD1460" s="154" t="s">
        <v>1663</v>
      </c>
      <c r="AF1460" s="154" t="s">
        <v>5645</v>
      </c>
      <c r="AO1460" s="155"/>
      <c r="AQ1460" s="156"/>
      <c r="AR1460" s="157"/>
      <c r="AS1460" s="158"/>
      <c r="AT1460" s="159"/>
      <c r="AU1460" s="161"/>
      <c r="AV1460" s="156"/>
      <c r="AW1460" s="162"/>
      <c r="AX1460" s="163"/>
      <c r="AY1460" s="164"/>
      <c r="AZ1460" s="159"/>
      <c r="BA1460" s="161"/>
      <c r="BB1460" s="165"/>
      <c r="BE1460" s="155"/>
    </row>
    <row r="1461" spans="1:59" s="154" customFormat="1" ht="15" customHeight="1">
      <c r="A1461" s="153" t="s">
        <v>5461</v>
      </c>
      <c r="B1461" s="153" t="s">
        <v>5521</v>
      </c>
      <c r="C1461" s="154" t="s">
        <v>5491</v>
      </c>
      <c r="D1461" s="170">
        <v>25</v>
      </c>
      <c r="E1461" s="154">
        <v>1</v>
      </c>
      <c r="F1461" s="154" t="s">
        <v>5522</v>
      </c>
      <c r="G1461" s="154" t="s">
        <v>5522</v>
      </c>
      <c r="J1461" s="154" t="s">
        <v>618</v>
      </c>
      <c r="K1461" s="154" t="s">
        <v>2426</v>
      </c>
      <c r="O1461" s="156"/>
      <c r="P1461" s="157"/>
      <c r="Q1461" s="158"/>
      <c r="R1461" s="159"/>
      <c r="S1461" s="160"/>
      <c r="T1461" s="161"/>
      <c r="U1461" s="156"/>
      <c r="V1461" s="162"/>
      <c r="W1461" s="163"/>
      <c r="X1461" s="164"/>
      <c r="Y1461" s="159"/>
      <c r="Z1461" s="161"/>
      <c r="AA1461" s="165"/>
      <c r="AF1461" s="154" t="s">
        <v>5646</v>
      </c>
      <c r="AI1461" s="154" t="s">
        <v>5522</v>
      </c>
      <c r="AL1461" s="154" t="s">
        <v>618</v>
      </c>
      <c r="AM1461" s="154" t="s">
        <v>2426</v>
      </c>
      <c r="AO1461" s="155"/>
      <c r="AQ1461" s="156"/>
      <c r="AR1461" s="157"/>
      <c r="AS1461" s="158"/>
      <c r="AT1461" s="159"/>
      <c r="AU1461" s="161"/>
      <c r="AV1461" s="156"/>
      <c r="AW1461" s="162"/>
      <c r="AX1461" s="163"/>
      <c r="AY1461" s="164"/>
      <c r="AZ1461" s="159"/>
      <c r="BA1461" s="161"/>
      <c r="BB1461" s="165"/>
      <c r="BE1461" s="155"/>
      <c r="BG1461" s="154" t="s">
        <v>5523</v>
      </c>
    </row>
    <row r="1462" spans="1:59" s="154" customFormat="1" ht="15" customHeight="1">
      <c r="A1462" s="153" t="s">
        <v>5461</v>
      </c>
      <c r="B1462" s="153" t="s">
        <v>5524</v>
      </c>
      <c r="C1462" s="154" t="s">
        <v>5491</v>
      </c>
      <c r="D1462" s="170">
        <v>26</v>
      </c>
      <c r="E1462" s="154">
        <v>1</v>
      </c>
      <c r="F1462" s="154" t="s">
        <v>5522</v>
      </c>
      <c r="G1462" s="154" t="s">
        <v>5525</v>
      </c>
      <c r="J1462" s="154" t="s">
        <v>619</v>
      </c>
      <c r="K1462" s="154" t="s">
        <v>2426</v>
      </c>
      <c r="L1462" s="154">
        <v>0</v>
      </c>
      <c r="O1462" s="156"/>
      <c r="P1462" s="157"/>
      <c r="Q1462" s="158"/>
      <c r="R1462" s="159"/>
      <c r="S1462" s="160"/>
      <c r="T1462" s="161"/>
      <c r="U1462" s="156"/>
      <c r="V1462" s="162"/>
      <c r="W1462" s="163"/>
      <c r="X1462" s="164"/>
      <c r="Y1462" s="159"/>
      <c r="Z1462" s="161">
        <v>2</v>
      </c>
      <c r="AA1462" s="165"/>
      <c r="AO1462" s="155"/>
      <c r="AQ1462" s="156"/>
      <c r="AR1462" s="157"/>
      <c r="AS1462" s="158"/>
      <c r="AT1462" s="159"/>
      <c r="AU1462" s="161"/>
      <c r="AV1462" s="156"/>
      <c r="AW1462" s="162"/>
      <c r="AX1462" s="163"/>
      <c r="AY1462" s="164"/>
      <c r="AZ1462" s="159"/>
      <c r="BA1462" s="161"/>
      <c r="BB1462" s="165"/>
    </row>
    <row r="1463" spans="1:59" s="154" customFormat="1" ht="15" customHeight="1">
      <c r="A1463" s="153" t="s">
        <v>5461</v>
      </c>
      <c r="B1463" s="153" t="s">
        <v>5526</v>
      </c>
      <c r="C1463" s="154" t="s">
        <v>5491</v>
      </c>
      <c r="D1463" s="170">
        <v>26</v>
      </c>
      <c r="E1463" s="154">
        <v>1</v>
      </c>
      <c r="F1463" s="154" t="s">
        <v>5522</v>
      </c>
      <c r="G1463" s="154" t="s">
        <v>5527</v>
      </c>
      <c r="H1463" s="154" t="s">
        <v>5528</v>
      </c>
      <c r="I1463" s="154" t="s">
        <v>223</v>
      </c>
      <c r="J1463" s="154" t="s">
        <v>29</v>
      </c>
      <c r="K1463" s="171" t="s">
        <v>2426</v>
      </c>
      <c r="O1463" s="156"/>
      <c r="P1463" s="157"/>
      <c r="Q1463" s="158">
        <v>3</v>
      </c>
      <c r="R1463" s="159">
        <v>3</v>
      </c>
      <c r="S1463" s="160"/>
      <c r="T1463" s="161">
        <v>4</v>
      </c>
      <c r="U1463" s="156"/>
      <c r="V1463" s="162">
        <v>2</v>
      </c>
      <c r="W1463" s="163">
        <v>1</v>
      </c>
      <c r="X1463" s="164"/>
      <c r="Y1463" s="159"/>
      <c r="Z1463" s="161"/>
      <c r="AA1463" s="165"/>
      <c r="AD1463" s="154" t="s">
        <v>1794</v>
      </c>
      <c r="AF1463" s="154" t="s">
        <v>5647</v>
      </c>
      <c r="AM1463" s="171"/>
      <c r="AO1463" s="155"/>
      <c r="AQ1463" s="156"/>
      <c r="AR1463" s="157"/>
      <c r="AS1463" s="158"/>
      <c r="AT1463" s="159"/>
      <c r="AU1463" s="161"/>
      <c r="AV1463" s="156"/>
      <c r="AW1463" s="162"/>
      <c r="AX1463" s="163"/>
      <c r="AY1463" s="164"/>
      <c r="AZ1463" s="159"/>
      <c r="BA1463" s="161"/>
      <c r="BB1463" s="165"/>
    </row>
    <row r="1464" spans="1:59" s="154" customFormat="1" ht="15" customHeight="1">
      <c r="A1464" s="153" t="s">
        <v>5461</v>
      </c>
      <c r="B1464" s="153" t="s">
        <v>5529</v>
      </c>
      <c r="C1464" s="154" t="s">
        <v>5491</v>
      </c>
      <c r="D1464" s="170">
        <v>27</v>
      </c>
      <c r="E1464" s="154">
        <v>1</v>
      </c>
      <c r="F1464" s="154" t="s">
        <v>5522</v>
      </c>
      <c r="G1464" s="154" t="s">
        <v>5530</v>
      </c>
      <c r="J1464" s="154" t="s">
        <v>619</v>
      </c>
      <c r="K1464" s="171" t="s">
        <v>2426</v>
      </c>
      <c r="L1464" s="154">
        <v>1</v>
      </c>
      <c r="O1464" s="156"/>
      <c r="P1464" s="157"/>
      <c r="Q1464" s="158"/>
      <c r="R1464" s="159"/>
      <c r="S1464" s="160"/>
      <c r="T1464" s="161"/>
      <c r="U1464" s="156"/>
      <c r="V1464" s="162"/>
      <c r="W1464" s="163"/>
      <c r="X1464" s="164"/>
      <c r="Y1464" s="159"/>
      <c r="Z1464" s="161">
        <v>2</v>
      </c>
      <c r="AA1464" s="165"/>
      <c r="AI1464" s="154" t="s">
        <v>1875</v>
      </c>
      <c r="AL1464" s="154" t="s">
        <v>619</v>
      </c>
      <c r="AM1464" s="154" t="s">
        <v>2426</v>
      </c>
      <c r="AN1464" s="154">
        <v>1</v>
      </c>
      <c r="AO1464" s="155"/>
      <c r="AQ1464" s="156"/>
      <c r="AR1464" s="157"/>
      <c r="AS1464" s="158"/>
      <c r="AT1464" s="159"/>
      <c r="AU1464" s="161"/>
      <c r="AV1464" s="156"/>
      <c r="AW1464" s="162"/>
      <c r="AX1464" s="163"/>
      <c r="AY1464" s="164"/>
      <c r="AZ1464" s="159"/>
      <c r="BA1464" s="161"/>
      <c r="BB1464" s="165"/>
      <c r="BE1464" s="155"/>
      <c r="BG1464" s="154" t="s">
        <v>5531</v>
      </c>
    </row>
    <row r="1465" spans="1:59" s="154" customFormat="1" ht="15" customHeight="1">
      <c r="A1465" s="153" t="s">
        <v>5461</v>
      </c>
      <c r="B1465" s="169" t="s">
        <v>5532</v>
      </c>
      <c r="C1465" s="154" t="s">
        <v>5491</v>
      </c>
      <c r="D1465" s="170">
        <v>28</v>
      </c>
      <c r="E1465" s="154">
        <v>1</v>
      </c>
      <c r="F1465" s="154" t="s">
        <v>5522</v>
      </c>
      <c r="G1465" s="154" t="s">
        <v>1829</v>
      </c>
      <c r="J1465" s="154" t="s">
        <v>31</v>
      </c>
      <c r="K1465" s="171" t="s">
        <v>2426</v>
      </c>
      <c r="O1465" s="156"/>
      <c r="P1465" s="157"/>
      <c r="Q1465" s="158"/>
      <c r="R1465" s="159"/>
      <c r="S1465" s="160"/>
      <c r="T1465" s="161"/>
      <c r="U1465" s="156"/>
      <c r="V1465" s="162"/>
      <c r="W1465" s="163"/>
      <c r="X1465" s="164"/>
      <c r="Y1465" s="159"/>
      <c r="Z1465" s="161"/>
      <c r="AA1465" s="165"/>
      <c r="AD1465" s="154" t="s">
        <v>1828</v>
      </c>
      <c r="AI1465" s="154" t="s">
        <v>1829</v>
      </c>
      <c r="AL1465" s="154" t="s">
        <v>31</v>
      </c>
      <c r="AM1465" s="154" t="s">
        <v>2426</v>
      </c>
      <c r="AO1465" s="155"/>
      <c r="AQ1465" s="156"/>
      <c r="AR1465" s="157"/>
      <c r="AS1465" s="158"/>
      <c r="AT1465" s="159"/>
      <c r="AU1465" s="161"/>
      <c r="AV1465" s="156"/>
      <c r="AW1465" s="162"/>
      <c r="AX1465" s="163"/>
      <c r="AY1465" s="164">
        <v>3</v>
      </c>
      <c r="AZ1465" s="159" t="s">
        <v>1111</v>
      </c>
      <c r="BA1465" s="161"/>
      <c r="BB1465" s="165">
        <v>1</v>
      </c>
      <c r="BE1465" s="155" t="s">
        <v>1828</v>
      </c>
      <c r="BG1465" s="154" t="s">
        <v>5533</v>
      </c>
    </row>
    <row r="1466" spans="1:59" s="154" customFormat="1" ht="15" customHeight="1">
      <c r="A1466" s="153" t="s">
        <v>5461</v>
      </c>
      <c r="B1466" s="153" t="s">
        <v>5534</v>
      </c>
      <c r="C1466" s="154" t="s">
        <v>5491</v>
      </c>
      <c r="D1466" s="170">
        <v>29</v>
      </c>
      <c r="E1466" s="154">
        <v>1</v>
      </c>
      <c r="F1466" s="154" t="s">
        <v>5522</v>
      </c>
      <c r="G1466" s="154" t="s">
        <v>5535</v>
      </c>
      <c r="J1466" s="154" t="s">
        <v>31</v>
      </c>
      <c r="K1466" s="154" t="s">
        <v>2426</v>
      </c>
      <c r="O1466" s="156"/>
      <c r="P1466" s="157"/>
      <c r="Q1466" s="158"/>
      <c r="R1466" s="159"/>
      <c r="S1466" s="160"/>
      <c r="T1466" s="161"/>
      <c r="U1466" s="156"/>
      <c r="V1466" s="162"/>
      <c r="W1466" s="163"/>
      <c r="X1466" s="164"/>
      <c r="Y1466" s="159"/>
      <c r="Z1466" s="161"/>
      <c r="AA1466" s="165"/>
      <c r="AD1466" s="154" t="s">
        <v>1828</v>
      </c>
      <c r="AI1466" s="154" t="s">
        <v>1827</v>
      </c>
      <c r="AL1466" s="154" t="s">
        <v>31</v>
      </c>
      <c r="AM1466" s="154" t="s">
        <v>2426</v>
      </c>
      <c r="AO1466" s="155"/>
      <c r="AQ1466" s="156"/>
      <c r="AR1466" s="157"/>
      <c r="AS1466" s="158"/>
      <c r="AT1466" s="159"/>
      <c r="AU1466" s="161"/>
      <c r="AV1466" s="156"/>
      <c r="AW1466" s="162"/>
      <c r="AX1466" s="163"/>
      <c r="AY1466" s="164">
        <v>1</v>
      </c>
      <c r="AZ1466" s="159" t="s">
        <v>1111</v>
      </c>
      <c r="BA1466" s="161"/>
      <c r="BB1466" s="165"/>
      <c r="BE1466" s="155" t="s">
        <v>1828</v>
      </c>
      <c r="BG1466" s="154" t="s">
        <v>5536</v>
      </c>
    </row>
    <row r="1467" spans="1:59" s="154" customFormat="1" ht="15" customHeight="1">
      <c r="A1467" s="153" t="s">
        <v>5461</v>
      </c>
      <c r="B1467" s="153" t="s">
        <v>5537</v>
      </c>
      <c r="C1467" s="154" t="s">
        <v>5491</v>
      </c>
      <c r="D1467" s="170">
        <v>30</v>
      </c>
      <c r="E1467" s="154">
        <v>1</v>
      </c>
      <c r="F1467" s="154" t="s">
        <v>5522</v>
      </c>
      <c r="G1467" s="154" t="s">
        <v>5538</v>
      </c>
      <c r="J1467" s="154" t="s">
        <v>31</v>
      </c>
      <c r="K1467" s="154" t="s">
        <v>2426</v>
      </c>
      <c r="O1467" s="156"/>
      <c r="P1467" s="157"/>
      <c r="Q1467" s="158"/>
      <c r="R1467" s="159"/>
      <c r="S1467" s="160"/>
      <c r="T1467" s="161"/>
      <c r="U1467" s="156"/>
      <c r="V1467" s="162"/>
      <c r="W1467" s="163"/>
      <c r="X1467" s="164"/>
      <c r="Y1467" s="159"/>
      <c r="Z1467" s="161"/>
      <c r="AA1467" s="165"/>
      <c r="AD1467" s="154" t="s">
        <v>1828</v>
      </c>
      <c r="AI1467" s="154" t="s">
        <v>1827</v>
      </c>
      <c r="AL1467" s="154" t="s">
        <v>31</v>
      </c>
      <c r="AM1467" s="154" t="s">
        <v>2426</v>
      </c>
      <c r="AP1467" s="155"/>
      <c r="AQ1467" s="156"/>
      <c r="AR1467" s="157"/>
      <c r="AS1467" s="158"/>
      <c r="AT1467" s="159"/>
      <c r="AU1467" s="161"/>
      <c r="AV1467" s="156"/>
      <c r="AW1467" s="162"/>
      <c r="AX1467" s="163"/>
      <c r="AY1467" s="164">
        <v>3</v>
      </c>
      <c r="AZ1467" s="159">
        <v>3</v>
      </c>
      <c r="BA1467" s="161"/>
      <c r="BB1467" s="165"/>
      <c r="BE1467" s="154" t="s">
        <v>1828</v>
      </c>
      <c r="BF1467" s="155"/>
      <c r="BG1467" s="154" t="s">
        <v>5536</v>
      </c>
    </row>
    <row r="1468" spans="1:59" s="154" customFormat="1" ht="15" customHeight="1">
      <c r="A1468" s="153" t="s">
        <v>5461</v>
      </c>
      <c r="B1468" s="153" t="s">
        <v>5539</v>
      </c>
      <c r="C1468" s="154" t="s">
        <v>5491</v>
      </c>
      <c r="D1468" s="170">
        <v>31</v>
      </c>
      <c r="E1468" s="154">
        <v>1</v>
      </c>
      <c r="F1468" s="154" t="s">
        <v>5522</v>
      </c>
      <c r="G1468" s="154" t="s">
        <v>5540</v>
      </c>
      <c r="J1468" s="154" t="s">
        <v>257</v>
      </c>
      <c r="K1468" s="154" t="s">
        <v>26</v>
      </c>
      <c r="N1468" s="155"/>
      <c r="O1468" s="156"/>
      <c r="P1468" s="157"/>
      <c r="Q1468" s="158"/>
      <c r="R1468" s="159"/>
      <c r="S1468" s="160"/>
      <c r="T1468" s="161">
        <v>2</v>
      </c>
      <c r="U1468" s="156">
        <v>2</v>
      </c>
      <c r="V1468" s="162"/>
      <c r="W1468" s="163"/>
      <c r="X1468" s="164"/>
      <c r="Y1468" s="159"/>
      <c r="Z1468" s="161"/>
      <c r="AA1468" s="165"/>
      <c r="AD1468" s="154" t="s">
        <v>1833</v>
      </c>
      <c r="AE1468" s="155"/>
      <c r="AF1468" s="154" t="s">
        <v>5648</v>
      </c>
      <c r="AP1468" s="155"/>
      <c r="AQ1468" s="156"/>
      <c r="AR1468" s="157"/>
      <c r="AS1468" s="158"/>
      <c r="AT1468" s="159"/>
      <c r="AU1468" s="161"/>
      <c r="AV1468" s="156"/>
      <c r="AW1468" s="162"/>
      <c r="AX1468" s="163"/>
      <c r="AY1468" s="164"/>
      <c r="AZ1468" s="159"/>
      <c r="BA1468" s="161"/>
      <c r="BB1468" s="165"/>
      <c r="BF1468" s="155"/>
    </row>
    <row r="1469" spans="1:59" s="154" customFormat="1" ht="15" customHeight="1">
      <c r="A1469" s="153" t="s">
        <v>5461</v>
      </c>
      <c r="B1469" s="153" t="s">
        <v>5541</v>
      </c>
      <c r="C1469" s="154" t="s">
        <v>5491</v>
      </c>
      <c r="D1469" s="170">
        <v>32</v>
      </c>
      <c r="E1469" s="154">
        <v>1</v>
      </c>
      <c r="F1469" s="154" t="s">
        <v>5542</v>
      </c>
      <c r="G1469" s="154" t="s">
        <v>5542</v>
      </c>
      <c r="J1469" s="154" t="s">
        <v>618</v>
      </c>
      <c r="K1469" s="154" t="s">
        <v>2426</v>
      </c>
      <c r="N1469" s="155"/>
      <c r="O1469" s="156"/>
      <c r="P1469" s="157"/>
      <c r="Q1469" s="158"/>
      <c r="R1469" s="159"/>
      <c r="S1469" s="160"/>
      <c r="T1469" s="161"/>
      <c r="U1469" s="156"/>
      <c r="V1469" s="162"/>
      <c r="W1469" s="163"/>
      <c r="X1469" s="164"/>
      <c r="Y1469" s="159"/>
      <c r="Z1469" s="161"/>
      <c r="AA1469" s="165"/>
      <c r="AE1469" s="155"/>
      <c r="AF1469" s="154" t="s">
        <v>5649</v>
      </c>
      <c r="AI1469" s="154" t="s">
        <v>5542</v>
      </c>
      <c r="AL1469" s="154" t="s">
        <v>618</v>
      </c>
      <c r="AM1469" s="154" t="s">
        <v>2426</v>
      </c>
      <c r="AP1469" s="155"/>
      <c r="AQ1469" s="156"/>
      <c r="AR1469" s="157"/>
      <c r="AS1469" s="158"/>
      <c r="AT1469" s="159"/>
      <c r="AU1469" s="161"/>
      <c r="AV1469" s="156"/>
      <c r="AW1469" s="162"/>
      <c r="AX1469" s="163"/>
      <c r="AY1469" s="164"/>
      <c r="AZ1469" s="159"/>
      <c r="BA1469" s="161"/>
      <c r="BB1469" s="165"/>
      <c r="BF1469" s="155"/>
      <c r="BG1469" s="154" t="s">
        <v>5650</v>
      </c>
    </row>
    <row r="1470" spans="1:59" s="154" customFormat="1" ht="15" customHeight="1">
      <c r="A1470" s="153" t="s">
        <v>5461</v>
      </c>
      <c r="B1470" s="153" t="s">
        <v>5543</v>
      </c>
      <c r="C1470" s="154" t="s">
        <v>5491</v>
      </c>
      <c r="D1470" s="170">
        <v>33</v>
      </c>
      <c r="E1470" s="154">
        <v>1</v>
      </c>
      <c r="F1470" s="154" t="s">
        <v>5542</v>
      </c>
      <c r="G1470" s="154" t="s">
        <v>2009</v>
      </c>
      <c r="J1470" s="154" t="s">
        <v>31</v>
      </c>
      <c r="K1470" s="154" t="s">
        <v>2426</v>
      </c>
      <c r="N1470" s="155"/>
      <c r="O1470" s="156"/>
      <c r="P1470" s="157"/>
      <c r="Q1470" s="158"/>
      <c r="R1470" s="159"/>
      <c r="S1470" s="160"/>
      <c r="T1470" s="161"/>
      <c r="U1470" s="156"/>
      <c r="V1470" s="162"/>
      <c r="W1470" s="163"/>
      <c r="X1470" s="164"/>
      <c r="Y1470" s="159"/>
      <c r="Z1470" s="161"/>
      <c r="AA1470" s="165"/>
      <c r="AD1470" s="154" t="s">
        <v>2010</v>
      </c>
      <c r="AE1470" s="155"/>
      <c r="AI1470" s="154" t="s">
        <v>2009</v>
      </c>
      <c r="AJ1470" s="154" t="s">
        <v>5544</v>
      </c>
      <c r="AL1470" s="154" t="s">
        <v>31</v>
      </c>
      <c r="AM1470" s="154" t="s">
        <v>2426</v>
      </c>
      <c r="AP1470" s="155"/>
      <c r="AQ1470" s="156"/>
      <c r="AR1470" s="157"/>
      <c r="AS1470" s="158"/>
      <c r="AT1470" s="159"/>
      <c r="AU1470" s="161"/>
      <c r="AV1470" s="156"/>
      <c r="AW1470" s="162"/>
      <c r="AX1470" s="163"/>
      <c r="AY1470" s="164">
        <v>3</v>
      </c>
      <c r="AZ1470" s="159">
        <v>0</v>
      </c>
      <c r="BA1470" s="161"/>
      <c r="BB1470" s="165"/>
      <c r="BE1470" s="154" t="s">
        <v>2010</v>
      </c>
      <c r="BF1470" s="155"/>
      <c r="BG1470" s="154" t="s">
        <v>5651</v>
      </c>
    </row>
    <row r="1471" spans="1:59" s="154" customFormat="1" ht="15" customHeight="1">
      <c r="A1471" s="153" t="s">
        <v>5461</v>
      </c>
      <c r="B1471" s="169" t="s">
        <v>5545</v>
      </c>
      <c r="C1471" s="154" t="s">
        <v>5491</v>
      </c>
      <c r="D1471" s="170">
        <v>34</v>
      </c>
      <c r="E1471" s="154">
        <v>1</v>
      </c>
      <c r="F1471" s="154" t="s">
        <v>5542</v>
      </c>
      <c r="G1471" s="154" t="s">
        <v>5546</v>
      </c>
      <c r="J1471" s="154" t="s">
        <v>31</v>
      </c>
      <c r="K1471" s="154" t="s">
        <v>2426</v>
      </c>
      <c r="N1471" s="155"/>
      <c r="O1471" s="156"/>
      <c r="P1471" s="157"/>
      <c r="Q1471" s="158"/>
      <c r="R1471" s="159"/>
      <c r="S1471" s="160"/>
      <c r="T1471" s="161"/>
      <c r="U1471" s="156"/>
      <c r="V1471" s="162"/>
      <c r="W1471" s="163"/>
      <c r="X1471" s="164"/>
      <c r="Y1471" s="159"/>
      <c r="Z1471" s="161"/>
      <c r="AA1471" s="165"/>
      <c r="AD1471" s="154" t="s">
        <v>2013</v>
      </c>
      <c r="AE1471" s="155"/>
      <c r="AI1471" s="154" t="s">
        <v>5546</v>
      </c>
      <c r="AL1471" s="154" t="s">
        <v>31</v>
      </c>
      <c r="AM1471" s="154" t="s">
        <v>2426</v>
      </c>
      <c r="AP1471" s="155"/>
      <c r="AQ1471" s="156"/>
      <c r="AR1471" s="157"/>
      <c r="AS1471" s="158"/>
      <c r="AT1471" s="159"/>
      <c r="AU1471" s="161"/>
      <c r="AV1471" s="156"/>
      <c r="AW1471" s="162"/>
      <c r="AX1471" s="163"/>
      <c r="AY1471" s="164">
        <v>3</v>
      </c>
      <c r="AZ1471" s="159">
        <v>2</v>
      </c>
      <c r="BA1471" s="161"/>
      <c r="BB1471" s="165"/>
      <c r="BE1471" s="154" t="s">
        <v>2013</v>
      </c>
      <c r="BF1471" s="155"/>
      <c r="BG1471" s="154" t="s">
        <v>5652</v>
      </c>
    </row>
    <row r="1472" spans="1:59" s="154" customFormat="1" ht="15" customHeight="1">
      <c r="A1472" s="153" t="s">
        <v>5461</v>
      </c>
      <c r="B1472" s="153" t="s">
        <v>5547</v>
      </c>
      <c r="C1472" s="154" t="s">
        <v>5491</v>
      </c>
      <c r="D1472" s="170">
        <v>35</v>
      </c>
      <c r="E1472" s="154">
        <v>1</v>
      </c>
      <c r="F1472" s="154" t="s">
        <v>5542</v>
      </c>
      <c r="G1472" s="154" t="s">
        <v>2014</v>
      </c>
      <c r="J1472" s="154" t="s">
        <v>31</v>
      </c>
      <c r="K1472" s="154" t="s">
        <v>2426</v>
      </c>
      <c r="N1472" s="155"/>
      <c r="O1472" s="156"/>
      <c r="P1472" s="157"/>
      <c r="Q1472" s="158"/>
      <c r="R1472" s="159"/>
      <c r="S1472" s="160"/>
      <c r="T1472" s="161"/>
      <c r="U1472" s="156"/>
      <c r="V1472" s="162"/>
      <c r="W1472" s="163"/>
      <c r="X1472" s="164"/>
      <c r="Y1472" s="159"/>
      <c r="Z1472" s="161"/>
      <c r="AA1472" s="165"/>
      <c r="AD1472" s="154" t="s">
        <v>2013</v>
      </c>
      <c r="AE1472" s="155"/>
      <c r="AI1472" s="154" t="s">
        <v>2014</v>
      </c>
      <c r="AL1472" s="154" t="s">
        <v>31</v>
      </c>
      <c r="AM1472" s="154" t="s">
        <v>2426</v>
      </c>
      <c r="AP1472" s="155"/>
      <c r="AQ1472" s="156"/>
      <c r="AR1472" s="157"/>
      <c r="AS1472" s="158"/>
      <c r="AT1472" s="159"/>
      <c r="AU1472" s="161"/>
      <c r="AV1472" s="156"/>
      <c r="AW1472" s="162"/>
      <c r="AX1472" s="163"/>
      <c r="AY1472" s="164">
        <v>2</v>
      </c>
      <c r="AZ1472" s="159">
        <v>3</v>
      </c>
      <c r="BA1472" s="161"/>
      <c r="BB1472" s="165"/>
      <c r="BE1472" s="154" t="s">
        <v>2013</v>
      </c>
      <c r="BF1472" s="155"/>
      <c r="BG1472" s="154" t="s">
        <v>5653</v>
      </c>
    </row>
    <row r="1473" spans="1:59" s="154" customFormat="1" ht="15" customHeight="1">
      <c r="A1473" s="153" t="s">
        <v>5461</v>
      </c>
      <c r="B1473" s="153" t="s">
        <v>5548</v>
      </c>
      <c r="C1473" s="154" t="s">
        <v>5491</v>
      </c>
      <c r="D1473" s="170">
        <v>36</v>
      </c>
      <c r="E1473" s="154">
        <v>1</v>
      </c>
      <c r="F1473" s="154" t="s">
        <v>5542</v>
      </c>
      <c r="G1473" s="154" t="s">
        <v>5549</v>
      </c>
      <c r="J1473" s="154" t="s">
        <v>31</v>
      </c>
      <c r="K1473" s="154" t="s">
        <v>2426</v>
      </c>
      <c r="N1473" s="155"/>
      <c r="O1473" s="156"/>
      <c r="P1473" s="157"/>
      <c r="Q1473" s="158"/>
      <c r="R1473" s="159"/>
      <c r="S1473" s="160"/>
      <c r="T1473" s="161"/>
      <c r="U1473" s="156"/>
      <c r="V1473" s="162"/>
      <c r="W1473" s="163"/>
      <c r="X1473" s="164"/>
      <c r="Y1473" s="159"/>
      <c r="Z1473" s="161"/>
      <c r="AA1473" s="165"/>
      <c r="AD1473" s="154" t="s">
        <v>2013</v>
      </c>
      <c r="AE1473" s="155"/>
      <c r="AI1473" s="153" t="s">
        <v>5549</v>
      </c>
      <c r="AL1473" s="154" t="s">
        <v>31</v>
      </c>
      <c r="AM1473" s="154" t="s">
        <v>2426</v>
      </c>
      <c r="AP1473" s="155"/>
      <c r="AQ1473" s="156"/>
      <c r="AR1473" s="157"/>
      <c r="AS1473" s="158"/>
      <c r="AT1473" s="159"/>
      <c r="AU1473" s="161"/>
      <c r="AV1473" s="156"/>
      <c r="AW1473" s="162"/>
      <c r="AX1473" s="163"/>
      <c r="AY1473" s="164">
        <v>3</v>
      </c>
      <c r="AZ1473" s="159" t="s">
        <v>1073</v>
      </c>
      <c r="BA1473" s="161"/>
      <c r="BB1473" s="165"/>
      <c r="BE1473" s="154" t="s">
        <v>2013</v>
      </c>
      <c r="BF1473" s="155"/>
      <c r="BG1473" s="154" t="s">
        <v>5654</v>
      </c>
    </row>
    <row r="1474" spans="1:59" s="154" customFormat="1" ht="15" customHeight="1">
      <c r="A1474" s="153" t="s">
        <v>5461</v>
      </c>
      <c r="B1474" s="169" t="s">
        <v>5550</v>
      </c>
      <c r="C1474" s="154" t="s">
        <v>5491</v>
      </c>
      <c r="D1474" s="170">
        <v>37</v>
      </c>
      <c r="E1474" s="154">
        <v>1</v>
      </c>
      <c r="F1474" s="154" t="s">
        <v>5542</v>
      </c>
      <c r="G1474" s="154" t="s">
        <v>2016</v>
      </c>
      <c r="J1474" s="154" t="s">
        <v>31</v>
      </c>
      <c r="K1474" s="154" t="s">
        <v>2426</v>
      </c>
      <c r="N1474" s="155"/>
      <c r="O1474" s="156"/>
      <c r="P1474" s="157"/>
      <c r="Q1474" s="158"/>
      <c r="R1474" s="159"/>
      <c r="S1474" s="160"/>
      <c r="T1474" s="161"/>
      <c r="U1474" s="156"/>
      <c r="V1474" s="162"/>
      <c r="W1474" s="163"/>
      <c r="X1474" s="164"/>
      <c r="Y1474" s="159"/>
      <c r="Z1474" s="161"/>
      <c r="AA1474" s="165"/>
      <c r="AD1474" s="154" t="s">
        <v>2013</v>
      </c>
      <c r="AE1474" s="155"/>
      <c r="AI1474" s="154" t="s">
        <v>2016</v>
      </c>
      <c r="AL1474" s="154" t="s">
        <v>31</v>
      </c>
      <c r="AM1474" s="154" t="s">
        <v>2426</v>
      </c>
      <c r="AP1474" s="155"/>
      <c r="AQ1474" s="156"/>
      <c r="AR1474" s="157"/>
      <c r="AS1474" s="158"/>
      <c r="AT1474" s="159"/>
      <c r="AU1474" s="161"/>
      <c r="AV1474" s="156"/>
      <c r="AW1474" s="162"/>
      <c r="AX1474" s="163"/>
      <c r="AY1474" s="164">
        <v>1</v>
      </c>
      <c r="AZ1474" s="159" t="s">
        <v>1073</v>
      </c>
      <c r="BA1474" s="161"/>
      <c r="BB1474" s="165"/>
      <c r="BE1474" s="154" t="s">
        <v>2013</v>
      </c>
      <c r="BF1474" s="155"/>
      <c r="BG1474" s="154" t="s">
        <v>5655</v>
      </c>
    </row>
    <row r="1475" spans="1:59" s="154" customFormat="1" ht="15" customHeight="1">
      <c r="A1475" s="153" t="s">
        <v>5461</v>
      </c>
      <c r="B1475" s="153" t="s">
        <v>5551</v>
      </c>
      <c r="C1475" s="154" t="s">
        <v>5491</v>
      </c>
      <c r="D1475" s="170">
        <v>38</v>
      </c>
      <c r="E1475" s="154">
        <v>1</v>
      </c>
      <c r="F1475" s="154" t="s">
        <v>5542</v>
      </c>
      <c r="G1475" s="154" t="s">
        <v>2017</v>
      </c>
      <c r="J1475" s="154" t="s">
        <v>31</v>
      </c>
      <c r="K1475" s="154" t="s">
        <v>2426</v>
      </c>
      <c r="N1475" s="155"/>
      <c r="O1475" s="156"/>
      <c r="P1475" s="157"/>
      <c r="Q1475" s="158"/>
      <c r="R1475" s="159"/>
      <c r="S1475" s="160"/>
      <c r="T1475" s="161"/>
      <c r="U1475" s="156"/>
      <c r="V1475" s="162"/>
      <c r="W1475" s="163"/>
      <c r="X1475" s="164"/>
      <c r="Y1475" s="159"/>
      <c r="Z1475" s="161"/>
      <c r="AA1475" s="165"/>
      <c r="AD1475" s="154" t="s">
        <v>2013</v>
      </c>
      <c r="AE1475" s="155"/>
      <c r="AI1475" s="154" t="s">
        <v>2017</v>
      </c>
      <c r="AL1475" s="154" t="s">
        <v>31</v>
      </c>
      <c r="AM1475" s="154" t="s">
        <v>2426</v>
      </c>
      <c r="AP1475" s="155"/>
      <c r="AQ1475" s="156"/>
      <c r="AR1475" s="157"/>
      <c r="AS1475" s="158"/>
      <c r="AT1475" s="159"/>
      <c r="AU1475" s="161"/>
      <c r="AV1475" s="156"/>
      <c r="AW1475" s="162"/>
      <c r="AX1475" s="163"/>
      <c r="AY1475" s="164">
        <v>2</v>
      </c>
      <c r="AZ1475" s="159" t="s">
        <v>1073</v>
      </c>
      <c r="BA1475" s="161"/>
      <c r="BB1475" s="165"/>
      <c r="BE1475" s="154" t="s">
        <v>2013</v>
      </c>
      <c r="BF1475" s="155"/>
      <c r="BG1475" s="154" t="s">
        <v>5656</v>
      </c>
    </row>
    <row r="1476" spans="1:59" s="154" customFormat="1" ht="15" customHeight="1">
      <c r="A1476" s="153" t="s">
        <v>5461</v>
      </c>
      <c r="B1476" s="153" t="s">
        <v>5552</v>
      </c>
      <c r="C1476" s="154" t="s">
        <v>5491</v>
      </c>
      <c r="D1476" s="170">
        <v>39</v>
      </c>
      <c r="E1476" s="154">
        <v>1</v>
      </c>
      <c r="F1476" s="154" t="s">
        <v>5542</v>
      </c>
      <c r="G1476" s="154" t="s">
        <v>2018</v>
      </c>
      <c r="J1476" s="154" t="s">
        <v>31</v>
      </c>
      <c r="K1476" s="154" t="s">
        <v>2426</v>
      </c>
      <c r="N1476" s="155"/>
      <c r="O1476" s="156"/>
      <c r="P1476" s="157"/>
      <c r="Q1476" s="158"/>
      <c r="R1476" s="159"/>
      <c r="S1476" s="160"/>
      <c r="T1476" s="161"/>
      <c r="U1476" s="156"/>
      <c r="V1476" s="162"/>
      <c r="W1476" s="163"/>
      <c r="X1476" s="164"/>
      <c r="Y1476" s="159"/>
      <c r="Z1476" s="161"/>
      <c r="AA1476" s="165"/>
      <c r="AD1476" s="154" t="s">
        <v>2013</v>
      </c>
      <c r="AE1476" s="155"/>
      <c r="AI1476" s="154" t="s">
        <v>2018</v>
      </c>
      <c r="AL1476" s="154" t="s">
        <v>31</v>
      </c>
      <c r="AM1476" s="154" t="s">
        <v>2426</v>
      </c>
      <c r="AP1476" s="155"/>
      <c r="AQ1476" s="156"/>
      <c r="AR1476" s="157"/>
      <c r="AS1476" s="158"/>
      <c r="AT1476" s="159"/>
      <c r="AU1476" s="161"/>
      <c r="AV1476" s="156"/>
      <c r="AW1476" s="162"/>
      <c r="AX1476" s="163"/>
      <c r="AY1476" s="164">
        <v>4</v>
      </c>
      <c r="AZ1476" s="159">
        <v>1</v>
      </c>
      <c r="BA1476" s="161"/>
      <c r="BB1476" s="165"/>
      <c r="BE1476" s="154" t="s">
        <v>2013</v>
      </c>
      <c r="BF1476" s="155"/>
      <c r="BG1476" s="154" t="s">
        <v>5657</v>
      </c>
    </row>
    <row r="1477" spans="1:59" s="154" customFormat="1" ht="15" customHeight="1">
      <c r="A1477" s="153" t="s">
        <v>5461</v>
      </c>
      <c r="B1477" s="153" t="s">
        <v>5553</v>
      </c>
      <c r="C1477" s="154" t="s">
        <v>5491</v>
      </c>
      <c r="D1477" s="170">
        <v>40</v>
      </c>
      <c r="E1477" s="154">
        <v>2</v>
      </c>
      <c r="F1477" s="154" t="s">
        <v>5542</v>
      </c>
      <c r="G1477" s="154" t="s">
        <v>5554</v>
      </c>
      <c r="J1477" s="154" t="s">
        <v>29</v>
      </c>
      <c r="K1477" s="154" t="s">
        <v>2426</v>
      </c>
      <c r="N1477" s="155"/>
      <c r="O1477" s="156"/>
      <c r="P1477" s="157"/>
      <c r="Q1477" s="158">
        <v>3</v>
      </c>
      <c r="R1477" s="159">
        <v>1</v>
      </c>
      <c r="S1477" s="160"/>
      <c r="T1477" s="161">
        <v>4</v>
      </c>
      <c r="U1477" s="156"/>
      <c r="V1477" s="162">
        <v>1</v>
      </c>
      <c r="W1477" s="163">
        <v>1</v>
      </c>
      <c r="X1477" s="164"/>
      <c r="Y1477" s="159"/>
      <c r="Z1477" s="161"/>
      <c r="AA1477" s="165"/>
      <c r="AD1477" s="154" t="s">
        <v>5555</v>
      </c>
      <c r="AF1477" s="154" t="s">
        <v>5658</v>
      </c>
      <c r="AP1477" s="155"/>
      <c r="AQ1477" s="156"/>
      <c r="AR1477" s="157"/>
      <c r="AS1477" s="158"/>
      <c r="AT1477" s="159"/>
      <c r="AU1477" s="161"/>
      <c r="AV1477" s="156"/>
      <c r="AW1477" s="162"/>
      <c r="AX1477" s="163"/>
      <c r="AY1477" s="164"/>
      <c r="AZ1477" s="159"/>
      <c r="BA1477" s="161"/>
      <c r="BB1477" s="165"/>
      <c r="BF1477" s="155"/>
    </row>
    <row r="1478" spans="1:59" s="154" customFormat="1" ht="15" customHeight="1">
      <c r="A1478" s="153" t="s">
        <v>5461</v>
      </c>
      <c r="B1478" s="169" t="s">
        <v>5556</v>
      </c>
      <c r="C1478" s="154" t="s">
        <v>5491</v>
      </c>
      <c r="D1478" s="170">
        <v>41</v>
      </c>
      <c r="E1478" s="154">
        <v>1</v>
      </c>
      <c r="F1478" s="154" t="s">
        <v>5557</v>
      </c>
      <c r="G1478" s="154" t="s">
        <v>5557</v>
      </c>
      <c r="J1478" s="154" t="s">
        <v>618</v>
      </c>
      <c r="K1478" s="154" t="s">
        <v>2426</v>
      </c>
      <c r="N1478" s="155"/>
      <c r="O1478" s="156"/>
      <c r="P1478" s="157"/>
      <c r="Q1478" s="158"/>
      <c r="R1478" s="159"/>
      <c r="S1478" s="160"/>
      <c r="T1478" s="161"/>
      <c r="U1478" s="156"/>
      <c r="V1478" s="162"/>
      <c r="W1478" s="163"/>
      <c r="X1478" s="164"/>
      <c r="Y1478" s="159"/>
      <c r="Z1478" s="161"/>
      <c r="AA1478" s="165"/>
      <c r="AE1478" s="155"/>
      <c r="AF1478" s="154" t="s">
        <v>5659</v>
      </c>
      <c r="AI1478" s="154" t="s">
        <v>5557</v>
      </c>
      <c r="AL1478" s="154" t="s">
        <v>618</v>
      </c>
      <c r="AM1478" s="154" t="s">
        <v>2426</v>
      </c>
      <c r="AP1478" s="155"/>
      <c r="AQ1478" s="156"/>
      <c r="AR1478" s="157"/>
      <c r="AS1478" s="158"/>
      <c r="AT1478" s="159"/>
      <c r="AU1478" s="161"/>
      <c r="AV1478" s="156"/>
      <c r="AW1478" s="162"/>
      <c r="AX1478" s="163"/>
      <c r="AY1478" s="164"/>
      <c r="AZ1478" s="159"/>
      <c r="BA1478" s="161"/>
      <c r="BB1478" s="165"/>
      <c r="BF1478" s="155"/>
      <c r="BG1478" s="154" t="s">
        <v>5660</v>
      </c>
    </row>
    <row r="1479" spans="1:59" s="154" customFormat="1" ht="15" customHeight="1">
      <c r="A1479" s="153" t="s">
        <v>5461</v>
      </c>
      <c r="B1479" s="153" t="s">
        <v>5558</v>
      </c>
      <c r="C1479" s="154" t="s">
        <v>5491</v>
      </c>
      <c r="D1479" s="170">
        <v>42</v>
      </c>
      <c r="E1479" s="154">
        <v>1</v>
      </c>
      <c r="F1479" s="154" t="s">
        <v>5557</v>
      </c>
      <c r="G1479" s="154" t="s">
        <v>2170</v>
      </c>
      <c r="H1479" s="154" t="s">
        <v>5559</v>
      </c>
      <c r="J1479" s="154" t="s">
        <v>29</v>
      </c>
      <c r="K1479" s="154" t="s">
        <v>2426</v>
      </c>
      <c r="N1479" s="155"/>
      <c r="O1479" s="156"/>
      <c r="P1479" s="157"/>
      <c r="Q1479" s="158">
        <v>5</v>
      </c>
      <c r="R1479" s="159">
        <v>4</v>
      </c>
      <c r="S1479" s="160"/>
      <c r="T1479" s="161">
        <v>1</v>
      </c>
      <c r="U1479" s="156"/>
      <c r="V1479" s="162">
        <v>2</v>
      </c>
      <c r="W1479" s="163">
        <v>1</v>
      </c>
      <c r="X1479" s="164"/>
      <c r="Y1479" s="159"/>
      <c r="Z1479" s="161"/>
      <c r="AA1479" s="165">
        <v>1</v>
      </c>
      <c r="AD1479" s="154" t="s">
        <v>1691</v>
      </c>
      <c r="AE1479" s="155"/>
      <c r="AF1479" s="154" t="s">
        <v>5661</v>
      </c>
      <c r="AP1479" s="155"/>
      <c r="AQ1479" s="156"/>
      <c r="AR1479" s="157"/>
      <c r="AS1479" s="158"/>
      <c r="AT1479" s="159"/>
      <c r="AU1479" s="161"/>
      <c r="AV1479" s="156"/>
      <c r="AW1479" s="162"/>
      <c r="AX1479" s="163"/>
      <c r="AY1479" s="164"/>
      <c r="AZ1479" s="159"/>
      <c r="BA1479" s="161"/>
      <c r="BB1479" s="165"/>
      <c r="BF1479" s="155"/>
    </row>
    <row r="1480" spans="1:59" s="154" customFormat="1" ht="15" customHeight="1">
      <c r="A1480" s="153" t="s">
        <v>5461</v>
      </c>
      <c r="B1480" s="169" t="s">
        <v>5560</v>
      </c>
      <c r="C1480" s="154" t="s">
        <v>5491</v>
      </c>
      <c r="D1480" s="170">
        <v>43</v>
      </c>
      <c r="E1480" s="154">
        <v>1</v>
      </c>
      <c r="F1480" s="154" t="s">
        <v>5557</v>
      </c>
      <c r="G1480" s="154" t="s">
        <v>2170</v>
      </c>
      <c r="H1480" s="154" t="s">
        <v>5561</v>
      </c>
      <c r="J1480" s="154" t="s">
        <v>29</v>
      </c>
      <c r="K1480" s="154" t="s">
        <v>2426</v>
      </c>
      <c r="N1480" s="155"/>
      <c r="O1480" s="156"/>
      <c r="P1480" s="157"/>
      <c r="Q1480" s="158">
        <v>6</v>
      </c>
      <c r="R1480" s="159">
        <v>2</v>
      </c>
      <c r="S1480" s="160"/>
      <c r="T1480" s="161">
        <v>2</v>
      </c>
      <c r="U1480" s="156"/>
      <c r="V1480" s="162">
        <v>1</v>
      </c>
      <c r="W1480" s="163">
        <v>2</v>
      </c>
      <c r="X1480" s="164"/>
      <c r="Y1480" s="159"/>
      <c r="Z1480" s="161"/>
      <c r="AA1480" s="165">
        <v>1</v>
      </c>
      <c r="AD1480" s="154" t="s">
        <v>1691</v>
      </c>
      <c r="AE1480" s="155"/>
      <c r="AF1480" s="154" t="s">
        <v>5662</v>
      </c>
      <c r="AP1480" s="155"/>
      <c r="AQ1480" s="156"/>
      <c r="AR1480" s="157"/>
      <c r="AS1480" s="158"/>
      <c r="AT1480" s="159"/>
      <c r="AU1480" s="161"/>
      <c r="AV1480" s="156"/>
      <c r="AW1480" s="162"/>
      <c r="AX1480" s="163"/>
      <c r="AY1480" s="164"/>
      <c r="AZ1480" s="159"/>
      <c r="BA1480" s="161"/>
      <c r="BB1480" s="165"/>
      <c r="BF1480" s="155"/>
    </row>
    <row r="1481" spans="1:59" s="154" customFormat="1" ht="15" customHeight="1">
      <c r="A1481" s="153" t="s">
        <v>5461</v>
      </c>
      <c r="B1481" s="153" t="s">
        <v>5562</v>
      </c>
      <c r="C1481" s="154" t="s">
        <v>5491</v>
      </c>
      <c r="D1481" s="170">
        <v>44</v>
      </c>
      <c r="E1481" s="154">
        <v>1</v>
      </c>
      <c r="F1481" s="154" t="s">
        <v>5557</v>
      </c>
      <c r="G1481" s="154" t="s">
        <v>2170</v>
      </c>
      <c r="H1481" s="154" t="s">
        <v>5563</v>
      </c>
      <c r="J1481" s="154" t="s">
        <v>29</v>
      </c>
      <c r="K1481" s="154" t="s">
        <v>2426</v>
      </c>
      <c r="N1481" s="155"/>
      <c r="O1481" s="156"/>
      <c r="P1481" s="157"/>
      <c r="Q1481" s="158">
        <v>7</v>
      </c>
      <c r="R1481" s="159">
        <v>3</v>
      </c>
      <c r="S1481" s="160"/>
      <c r="T1481" s="161">
        <v>1</v>
      </c>
      <c r="U1481" s="156"/>
      <c r="V1481" s="162">
        <v>2</v>
      </c>
      <c r="W1481" s="163">
        <v>1</v>
      </c>
      <c r="X1481" s="164"/>
      <c r="Y1481" s="159"/>
      <c r="Z1481" s="161"/>
      <c r="AA1481" s="165">
        <v>1</v>
      </c>
      <c r="AD1481" s="154" t="s">
        <v>1691</v>
      </c>
      <c r="AE1481" s="155"/>
      <c r="AF1481" s="154" t="s">
        <v>5663</v>
      </c>
      <c r="AP1481" s="155"/>
      <c r="AQ1481" s="156"/>
      <c r="AR1481" s="157"/>
      <c r="AS1481" s="158"/>
      <c r="AT1481" s="159"/>
      <c r="AU1481" s="161"/>
      <c r="AV1481" s="156"/>
      <c r="AW1481" s="162"/>
      <c r="AX1481" s="163"/>
      <c r="AY1481" s="164"/>
      <c r="AZ1481" s="159"/>
      <c r="BA1481" s="161"/>
      <c r="BB1481" s="165"/>
      <c r="BF1481" s="155"/>
    </row>
    <row r="1482" spans="1:59" s="154" customFormat="1" ht="15" customHeight="1">
      <c r="A1482" s="153" t="s">
        <v>5461</v>
      </c>
      <c r="B1482" s="153" t="s">
        <v>5564</v>
      </c>
      <c r="C1482" s="154" t="s">
        <v>5491</v>
      </c>
      <c r="D1482" s="170">
        <v>45</v>
      </c>
      <c r="E1482" s="154">
        <v>1</v>
      </c>
      <c r="F1482" s="154" t="s">
        <v>5557</v>
      </c>
      <c r="G1482" s="154" t="s">
        <v>2170</v>
      </c>
      <c r="H1482" s="154" t="s">
        <v>5565</v>
      </c>
      <c r="J1482" s="154" t="s">
        <v>29</v>
      </c>
      <c r="K1482" s="154" t="s">
        <v>2426</v>
      </c>
      <c r="N1482" s="155"/>
      <c r="O1482" s="156"/>
      <c r="P1482" s="157"/>
      <c r="Q1482" s="158">
        <v>6</v>
      </c>
      <c r="R1482" s="159">
        <v>3</v>
      </c>
      <c r="S1482" s="160"/>
      <c r="T1482" s="161">
        <v>1</v>
      </c>
      <c r="U1482" s="156"/>
      <c r="V1482" s="162">
        <v>1</v>
      </c>
      <c r="W1482" s="163">
        <v>2</v>
      </c>
      <c r="X1482" s="164"/>
      <c r="Y1482" s="159"/>
      <c r="Z1482" s="161"/>
      <c r="AA1482" s="165">
        <v>1</v>
      </c>
      <c r="AD1482" s="154" t="s">
        <v>1691</v>
      </c>
      <c r="AE1482" s="155"/>
      <c r="AF1482" s="154" t="s">
        <v>5664</v>
      </c>
      <c r="AP1482" s="155"/>
      <c r="AQ1482" s="156"/>
      <c r="AR1482" s="157"/>
      <c r="AS1482" s="158"/>
      <c r="AT1482" s="159"/>
      <c r="AU1482" s="161"/>
      <c r="AV1482" s="156"/>
      <c r="AW1482" s="162"/>
      <c r="AX1482" s="163"/>
      <c r="AY1482" s="164"/>
      <c r="AZ1482" s="159"/>
      <c r="BA1482" s="161"/>
      <c r="BB1482" s="165"/>
      <c r="BF1482" s="155"/>
    </row>
    <row r="1483" spans="1:59" s="154" customFormat="1" ht="15" customHeight="1">
      <c r="A1483" s="153" t="s">
        <v>5461</v>
      </c>
      <c r="B1483" s="153" t="s">
        <v>5566</v>
      </c>
      <c r="C1483" s="154" t="s">
        <v>5491</v>
      </c>
      <c r="D1483" s="170">
        <v>46</v>
      </c>
      <c r="E1483" s="154">
        <v>2</v>
      </c>
      <c r="F1483" s="154" t="s">
        <v>5557</v>
      </c>
      <c r="G1483" s="154" t="s">
        <v>5567</v>
      </c>
      <c r="J1483" s="154" t="s">
        <v>28</v>
      </c>
      <c r="K1483" s="154" t="s">
        <v>2426</v>
      </c>
      <c r="N1483" s="155"/>
      <c r="O1483" s="156"/>
      <c r="P1483" s="157"/>
      <c r="Q1483" s="158"/>
      <c r="R1483" s="159"/>
      <c r="S1483" s="160"/>
      <c r="T1483" s="161"/>
      <c r="U1483" s="156"/>
      <c r="V1483" s="162"/>
      <c r="W1483" s="163"/>
      <c r="X1483" s="164"/>
      <c r="Y1483" s="159"/>
      <c r="Z1483" s="161"/>
      <c r="AA1483" s="165"/>
      <c r="AD1483" s="154" t="s">
        <v>1663</v>
      </c>
      <c r="AE1483" s="155"/>
      <c r="AF1483" s="154" t="s">
        <v>5665</v>
      </c>
      <c r="AP1483" s="155"/>
      <c r="AQ1483" s="156"/>
      <c r="AR1483" s="157"/>
      <c r="AS1483" s="158"/>
      <c r="AT1483" s="159"/>
      <c r="AU1483" s="161"/>
      <c r="AV1483" s="156"/>
      <c r="AW1483" s="162"/>
      <c r="AX1483" s="163"/>
      <c r="AY1483" s="164"/>
      <c r="AZ1483" s="159"/>
      <c r="BA1483" s="161"/>
      <c r="BB1483" s="165"/>
      <c r="BF1483" s="155"/>
    </row>
    <row r="1484" spans="1:59" s="154" customFormat="1" ht="15" customHeight="1">
      <c r="A1484" s="153" t="s">
        <v>5461</v>
      </c>
      <c r="B1484" s="153" t="s">
        <v>5568</v>
      </c>
      <c r="C1484" s="154" t="s">
        <v>5491</v>
      </c>
      <c r="D1484" s="170">
        <v>47</v>
      </c>
      <c r="E1484" s="154">
        <v>1</v>
      </c>
      <c r="F1484" s="154" t="s">
        <v>5569</v>
      </c>
      <c r="G1484" s="154" t="s">
        <v>5569</v>
      </c>
      <c r="J1484" s="154" t="s">
        <v>618</v>
      </c>
      <c r="K1484" s="154" t="s">
        <v>2426</v>
      </c>
      <c r="N1484" s="155"/>
      <c r="O1484" s="156"/>
      <c r="P1484" s="157"/>
      <c r="Q1484" s="158"/>
      <c r="R1484" s="159"/>
      <c r="S1484" s="160"/>
      <c r="T1484" s="161"/>
      <c r="U1484" s="156"/>
      <c r="V1484" s="162"/>
      <c r="W1484" s="163"/>
      <c r="X1484" s="164"/>
      <c r="Y1484" s="159"/>
      <c r="Z1484" s="161"/>
      <c r="AA1484" s="165"/>
      <c r="AE1484" s="155"/>
      <c r="AF1484" s="154" t="s">
        <v>5666</v>
      </c>
      <c r="AI1484" s="154" t="s">
        <v>5569</v>
      </c>
      <c r="AL1484" s="154" t="s">
        <v>618</v>
      </c>
      <c r="AM1484" s="154" t="s">
        <v>2426</v>
      </c>
      <c r="AP1484" s="155"/>
      <c r="AQ1484" s="156"/>
      <c r="AR1484" s="157"/>
      <c r="AS1484" s="158"/>
      <c r="AT1484" s="159"/>
      <c r="AU1484" s="161"/>
      <c r="AV1484" s="156"/>
      <c r="AW1484" s="162"/>
      <c r="AX1484" s="163"/>
      <c r="AY1484" s="164"/>
      <c r="AZ1484" s="159"/>
      <c r="BA1484" s="161"/>
      <c r="BB1484" s="165"/>
      <c r="BF1484" s="155"/>
      <c r="BG1484" s="154" t="s">
        <v>5667</v>
      </c>
    </row>
    <row r="1485" spans="1:59" s="154" customFormat="1" ht="15" customHeight="1">
      <c r="A1485" s="153" t="s">
        <v>5461</v>
      </c>
      <c r="B1485" s="169" t="s">
        <v>5570</v>
      </c>
      <c r="C1485" s="154" t="s">
        <v>5491</v>
      </c>
      <c r="D1485" s="155">
        <v>48</v>
      </c>
      <c r="E1485" s="154">
        <v>1</v>
      </c>
      <c r="F1485" s="154" t="s">
        <v>5569</v>
      </c>
      <c r="G1485" s="154" t="s">
        <v>2274</v>
      </c>
      <c r="J1485" s="154" t="s">
        <v>31</v>
      </c>
      <c r="K1485" s="154" t="s">
        <v>2426</v>
      </c>
      <c r="N1485" s="155"/>
      <c r="O1485" s="156"/>
      <c r="P1485" s="157"/>
      <c r="Q1485" s="158"/>
      <c r="R1485" s="159"/>
      <c r="S1485" s="160"/>
      <c r="T1485" s="161"/>
      <c r="U1485" s="156"/>
      <c r="V1485" s="162"/>
      <c r="W1485" s="163"/>
      <c r="X1485" s="164"/>
      <c r="Y1485" s="159"/>
      <c r="Z1485" s="161"/>
      <c r="AA1485" s="165"/>
      <c r="AD1485" s="154" t="s">
        <v>2340</v>
      </c>
      <c r="AE1485" s="155"/>
      <c r="AI1485" s="154" t="s">
        <v>2274</v>
      </c>
      <c r="AJ1485" s="154" t="s">
        <v>5571</v>
      </c>
      <c r="AL1485" s="154" t="s">
        <v>31</v>
      </c>
      <c r="AM1485" s="154" t="s">
        <v>2426</v>
      </c>
      <c r="AP1485" s="155"/>
      <c r="AQ1485" s="156"/>
      <c r="AR1485" s="157"/>
      <c r="AS1485" s="158"/>
      <c r="AT1485" s="159"/>
      <c r="AU1485" s="161"/>
      <c r="AV1485" s="156"/>
      <c r="AW1485" s="162"/>
      <c r="AX1485" s="163"/>
      <c r="AY1485" s="164">
        <v>4</v>
      </c>
      <c r="AZ1485" s="159">
        <v>3</v>
      </c>
      <c r="BA1485" s="161"/>
      <c r="BB1485" s="165"/>
      <c r="BE1485" s="154" t="s">
        <v>2340</v>
      </c>
      <c r="BF1485" s="155"/>
      <c r="BG1485" s="154" t="s">
        <v>5668</v>
      </c>
    </row>
    <row r="1486" spans="1:59" s="154" customFormat="1" ht="15" customHeight="1">
      <c r="A1486" s="153" t="s">
        <v>5461</v>
      </c>
      <c r="B1486" s="153" t="s">
        <v>5572</v>
      </c>
      <c r="C1486" s="154" t="s">
        <v>5491</v>
      </c>
      <c r="D1486" s="155">
        <v>49</v>
      </c>
      <c r="E1486" s="154">
        <v>1</v>
      </c>
      <c r="F1486" s="154" t="s">
        <v>5569</v>
      </c>
      <c r="G1486" s="154" t="s">
        <v>2276</v>
      </c>
      <c r="J1486" s="154" t="s">
        <v>31</v>
      </c>
      <c r="K1486" s="154" t="s">
        <v>2426</v>
      </c>
      <c r="N1486" s="155"/>
      <c r="O1486" s="156"/>
      <c r="P1486" s="157"/>
      <c r="Q1486" s="158"/>
      <c r="R1486" s="159"/>
      <c r="S1486" s="160"/>
      <c r="T1486" s="161"/>
      <c r="U1486" s="156"/>
      <c r="V1486" s="162"/>
      <c r="W1486" s="163"/>
      <c r="X1486" s="164"/>
      <c r="Y1486" s="159"/>
      <c r="Z1486" s="161"/>
      <c r="AA1486" s="165"/>
      <c r="AD1486" s="154" t="s">
        <v>2340</v>
      </c>
      <c r="AE1486" s="155"/>
      <c r="AI1486" s="154" t="s">
        <v>2276</v>
      </c>
      <c r="AJ1486" s="154" t="s">
        <v>5571</v>
      </c>
      <c r="AL1486" s="154" t="s">
        <v>31</v>
      </c>
      <c r="AM1486" s="154" t="s">
        <v>2426</v>
      </c>
      <c r="AP1486" s="155"/>
      <c r="AQ1486" s="156"/>
      <c r="AR1486" s="157"/>
      <c r="AS1486" s="158"/>
      <c r="AT1486" s="159"/>
      <c r="AU1486" s="161"/>
      <c r="AV1486" s="156"/>
      <c r="AW1486" s="162"/>
      <c r="AX1486" s="163"/>
      <c r="AY1486" s="164">
        <v>4</v>
      </c>
      <c r="AZ1486" s="159">
        <v>3</v>
      </c>
      <c r="BA1486" s="161"/>
      <c r="BB1486" s="165"/>
      <c r="BE1486" s="154" t="s">
        <v>2340</v>
      </c>
      <c r="BF1486" s="155"/>
      <c r="BG1486" s="154" t="s">
        <v>5573</v>
      </c>
    </row>
    <row r="1487" spans="1:59" s="154" customFormat="1" ht="15" customHeight="1">
      <c r="A1487" s="153" t="s">
        <v>5461</v>
      </c>
      <c r="B1487" s="183" t="s">
        <v>5574</v>
      </c>
      <c r="C1487" s="154" t="s">
        <v>5491</v>
      </c>
      <c r="D1487" s="155">
        <v>50</v>
      </c>
      <c r="E1487" s="154">
        <v>1</v>
      </c>
      <c r="F1487" s="154" t="s">
        <v>5569</v>
      </c>
      <c r="G1487" s="154" t="s">
        <v>5575</v>
      </c>
      <c r="J1487" s="154" t="s">
        <v>31</v>
      </c>
      <c r="K1487" s="154" t="s">
        <v>2426</v>
      </c>
      <c r="N1487" s="155"/>
      <c r="O1487" s="156"/>
      <c r="P1487" s="157"/>
      <c r="Q1487" s="158"/>
      <c r="R1487" s="159"/>
      <c r="S1487" s="160"/>
      <c r="T1487" s="161"/>
      <c r="U1487" s="156"/>
      <c r="V1487" s="162"/>
      <c r="W1487" s="163"/>
      <c r="X1487" s="164"/>
      <c r="Y1487" s="159"/>
      <c r="Z1487" s="161"/>
      <c r="AA1487" s="165"/>
      <c r="AD1487" s="154" t="s">
        <v>2344</v>
      </c>
      <c r="AE1487" s="155"/>
      <c r="AI1487" s="154" t="s">
        <v>2307</v>
      </c>
      <c r="AL1487" s="154" t="s">
        <v>31</v>
      </c>
      <c r="AM1487" s="154" t="s">
        <v>2426</v>
      </c>
      <c r="AP1487" s="155"/>
      <c r="AQ1487" s="156"/>
      <c r="AR1487" s="157"/>
      <c r="AS1487" s="158"/>
      <c r="AT1487" s="159"/>
      <c r="AU1487" s="161"/>
      <c r="AV1487" s="156"/>
      <c r="AW1487" s="162"/>
      <c r="AX1487" s="163"/>
      <c r="AY1487" s="164">
        <v>2</v>
      </c>
      <c r="AZ1487" s="159" t="s">
        <v>1073</v>
      </c>
      <c r="BA1487" s="161"/>
      <c r="BB1487" s="165"/>
      <c r="BE1487" s="154" t="s">
        <v>2344</v>
      </c>
      <c r="BF1487" s="155"/>
      <c r="BG1487" s="154" t="s">
        <v>5669</v>
      </c>
    </row>
    <row r="1488" spans="1:59" s="154" customFormat="1" ht="15" customHeight="1">
      <c r="A1488" s="153" t="s">
        <v>5461</v>
      </c>
      <c r="B1488" s="154" t="s">
        <v>5576</v>
      </c>
      <c r="C1488" s="154" t="s">
        <v>5491</v>
      </c>
      <c r="D1488" s="155">
        <v>51</v>
      </c>
      <c r="E1488" s="154">
        <v>1</v>
      </c>
      <c r="F1488" s="154" t="s">
        <v>5569</v>
      </c>
      <c r="G1488" s="154" t="s">
        <v>5577</v>
      </c>
      <c r="J1488" s="154" t="s">
        <v>31</v>
      </c>
      <c r="K1488" s="154" t="s">
        <v>2426</v>
      </c>
      <c r="N1488" s="155"/>
      <c r="O1488" s="156"/>
      <c r="P1488" s="157"/>
      <c r="Q1488" s="158"/>
      <c r="R1488" s="159"/>
      <c r="S1488" s="160"/>
      <c r="T1488" s="161"/>
      <c r="U1488" s="156"/>
      <c r="V1488" s="162"/>
      <c r="W1488" s="163"/>
      <c r="X1488" s="164"/>
      <c r="Y1488" s="159"/>
      <c r="Z1488" s="161"/>
      <c r="AA1488" s="165"/>
      <c r="AD1488" s="154" t="s">
        <v>2348</v>
      </c>
      <c r="AE1488" s="155"/>
      <c r="AI1488" s="154" t="s">
        <v>2308</v>
      </c>
      <c r="AL1488" s="154" t="s">
        <v>31</v>
      </c>
      <c r="AM1488" s="154" t="s">
        <v>2426</v>
      </c>
      <c r="AP1488" s="155"/>
      <c r="AQ1488" s="156"/>
      <c r="AR1488" s="157"/>
      <c r="AS1488" s="158"/>
      <c r="AT1488" s="159"/>
      <c r="AU1488" s="161"/>
      <c r="AV1488" s="156"/>
      <c r="AW1488" s="162"/>
      <c r="AX1488" s="163"/>
      <c r="AY1488" s="164">
        <v>4</v>
      </c>
      <c r="AZ1488" s="159" t="s">
        <v>1073</v>
      </c>
      <c r="BA1488" s="161"/>
      <c r="BB1488" s="165"/>
      <c r="BE1488" s="154" t="s">
        <v>2348</v>
      </c>
      <c r="BF1488" s="155"/>
      <c r="BG1488" s="154" t="s">
        <v>5670</v>
      </c>
    </row>
    <row r="1489" spans="1:59" s="154" customFormat="1" ht="15" customHeight="1">
      <c r="A1489" s="153" t="s">
        <v>5461</v>
      </c>
      <c r="B1489" s="154" t="s">
        <v>5578</v>
      </c>
      <c r="C1489" s="154" t="s">
        <v>5491</v>
      </c>
      <c r="D1489" s="155">
        <v>52</v>
      </c>
      <c r="E1489" s="154">
        <v>1</v>
      </c>
      <c r="F1489" s="154" t="s">
        <v>5569</v>
      </c>
      <c r="G1489" s="154" t="s">
        <v>5579</v>
      </c>
      <c r="H1489" s="154" t="s">
        <v>5580</v>
      </c>
      <c r="I1489" s="154" t="s">
        <v>223</v>
      </c>
      <c r="J1489" s="154" t="s">
        <v>257</v>
      </c>
      <c r="K1489" s="154" t="s">
        <v>26</v>
      </c>
      <c r="N1489" s="155">
        <v>5</v>
      </c>
      <c r="O1489" s="156"/>
      <c r="P1489" s="157">
        <v>2</v>
      </c>
      <c r="Q1489" s="158">
        <v>2</v>
      </c>
      <c r="R1489" s="159"/>
      <c r="S1489" s="160"/>
      <c r="T1489" s="161">
        <v>3</v>
      </c>
      <c r="U1489" s="156">
        <v>3</v>
      </c>
      <c r="V1489" s="162"/>
      <c r="W1489" s="163"/>
      <c r="X1489" s="164"/>
      <c r="Y1489" s="159"/>
      <c r="Z1489" s="161"/>
      <c r="AA1489" s="165"/>
      <c r="AB1489" s="154" t="s">
        <v>5581</v>
      </c>
      <c r="AC1489" s="154" t="s">
        <v>25</v>
      </c>
      <c r="AD1489" s="154" t="s">
        <v>5582</v>
      </c>
      <c r="AE1489" s="155"/>
      <c r="AF1489" s="154" t="s">
        <v>5671</v>
      </c>
      <c r="AJ1489" s="171"/>
      <c r="AP1489" s="155"/>
      <c r="AQ1489" s="156"/>
      <c r="AR1489" s="157"/>
      <c r="AS1489" s="158"/>
      <c r="AT1489" s="159"/>
      <c r="AU1489" s="161"/>
      <c r="AV1489" s="156"/>
      <c r="AW1489" s="162"/>
      <c r="AX1489" s="163"/>
      <c r="AY1489" s="164"/>
      <c r="AZ1489" s="159"/>
      <c r="BA1489" s="161"/>
      <c r="BB1489" s="165"/>
      <c r="BF1489" s="155"/>
    </row>
    <row r="1490" spans="1:59" s="154" customFormat="1" ht="15" customHeight="1">
      <c r="A1490" s="153" t="s">
        <v>5461</v>
      </c>
      <c r="B1490" s="154" t="s">
        <v>5583</v>
      </c>
      <c r="C1490" s="154" t="s">
        <v>5491</v>
      </c>
      <c r="D1490" s="155">
        <v>53</v>
      </c>
      <c r="E1490" s="154">
        <v>1</v>
      </c>
      <c r="F1490" s="154" t="s">
        <v>5584</v>
      </c>
      <c r="G1490" s="154" t="s">
        <v>5584</v>
      </c>
      <c r="J1490" s="154" t="s">
        <v>618</v>
      </c>
      <c r="K1490" s="154" t="s">
        <v>2426</v>
      </c>
      <c r="N1490" s="155"/>
      <c r="O1490" s="156"/>
      <c r="P1490" s="157"/>
      <c r="Q1490" s="158"/>
      <c r="R1490" s="159"/>
      <c r="S1490" s="160"/>
      <c r="T1490" s="161"/>
      <c r="U1490" s="156"/>
      <c r="V1490" s="162"/>
      <c r="W1490" s="163"/>
      <c r="X1490" s="164"/>
      <c r="Y1490" s="159"/>
      <c r="Z1490" s="161"/>
      <c r="AA1490" s="165"/>
      <c r="AE1490" s="155"/>
      <c r="AF1490" s="154" t="s">
        <v>5672</v>
      </c>
      <c r="AI1490" s="154" t="s">
        <v>5584</v>
      </c>
      <c r="AL1490" s="154" t="s">
        <v>618</v>
      </c>
      <c r="AM1490" s="154" t="s">
        <v>2426</v>
      </c>
      <c r="AP1490" s="155"/>
      <c r="AQ1490" s="156"/>
      <c r="AR1490" s="157"/>
      <c r="AS1490" s="158"/>
      <c r="AT1490" s="159"/>
      <c r="AU1490" s="161"/>
      <c r="AV1490" s="156"/>
      <c r="AW1490" s="162"/>
      <c r="AX1490" s="163"/>
      <c r="AY1490" s="164"/>
      <c r="AZ1490" s="159"/>
      <c r="BA1490" s="161"/>
      <c r="BB1490" s="165"/>
      <c r="BF1490" s="155"/>
      <c r="BG1490" s="154" t="s">
        <v>5673</v>
      </c>
    </row>
    <row r="1491" spans="1:59" s="154" customFormat="1" ht="15" customHeight="1">
      <c r="A1491" s="153" t="s">
        <v>5461</v>
      </c>
      <c r="B1491" s="153" t="s">
        <v>5585</v>
      </c>
      <c r="C1491" s="154" t="s">
        <v>5491</v>
      </c>
      <c r="D1491" s="155">
        <v>54</v>
      </c>
      <c r="E1491" s="154">
        <v>1</v>
      </c>
      <c r="F1491" s="154" t="s">
        <v>5584</v>
      </c>
      <c r="G1491" s="154" t="s">
        <v>5586</v>
      </c>
      <c r="J1491" s="154" t="s">
        <v>619</v>
      </c>
      <c r="K1491" s="154" t="s">
        <v>2426</v>
      </c>
      <c r="L1491" s="154">
        <v>3</v>
      </c>
      <c r="N1491" s="155"/>
      <c r="O1491" s="156"/>
      <c r="P1491" s="157"/>
      <c r="Q1491" s="158"/>
      <c r="R1491" s="159"/>
      <c r="S1491" s="160"/>
      <c r="T1491" s="161"/>
      <c r="U1491" s="156"/>
      <c r="V1491" s="162"/>
      <c r="W1491" s="163"/>
      <c r="X1491" s="164"/>
      <c r="Y1491" s="159"/>
      <c r="Z1491" s="161">
        <v>6</v>
      </c>
      <c r="AA1491" s="165"/>
      <c r="AE1491" s="155"/>
      <c r="AF1491" s="154" t="s">
        <v>2430</v>
      </c>
      <c r="AI1491" s="154" t="s">
        <v>5587</v>
      </c>
      <c r="AL1491" s="154" t="s">
        <v>619</v>
      </c>
      <c r="AM1491" s="154" t="s">
        <v>2426</v>
      </c>
      <c r="AN1491" s="154">
        <v>3</v>
      </c>
      <c r="AP1491" s="155"/>
      <c r="AQ1491" s="156"/>
      <c r="AR1491" s="157"/>
      <c r="AS1491" s="158"/>
      <c r="AT1491" s="159"/>
      <c r="AU1491" s="161"/>
      <c r="AV1491" s="156"/>
      <c r="AW1491" s="162"/>
      <c r="AX1491" s="163"/>
      <c r="AY1491" s="164"/>
      <c r="AZ1491" s="159"/>
      <c r="BA1491" s="161"/>
      <c r="BB1491" s="165"/>
      <c r="BF1491" s="155"/>
      <c r="BG1491" s="154" t="s">
        <v>5674</v>
      </c>
    </row>
    <row r="1492" spans="1:59" s="154" customFormat="1" ht="15" customHeight="1">
      <c r="A1492" s="153" t="s">
        <v>5461</v>
      </c>
      <c r="B1492" s="153" t="s">
        <v>5588</v>
      </c>
      <c r="C1492" s="154" t="s">
        <v>5491</v>
      </c>
      <c r="D1492" s="155">
        <v>55</v>
      </c>
      <c r="E1492" s="154">
        <v>1</v>
      </c>
      <c r="F1492" s="154" t="s">
        <v>5584</v>
      </c>
      <c r="G1492" s="154" t="s">
        <v>5589</v>
      </c>
      <c r="J1492" s="154" t="s">
        <v>621</v>
      </c>
      <c r="K1492" s="154" t="s">
        <v>2426</v>
      </c>
      <c r="L1492" s="154">
        <v>2</v>
      </c>
      <c r="N1492" s="155"/>
      <c r="O1492" s="156"/>
      <c r="P1492" s="157"/>
      <c r="Q1492" s="158"/>
      <c r="R1492" s="159"/>
      <c r="S1492" s="160"/>
      <c r="T1492" s="161"/>
      <c r="U1492" s="156"/>
      <c r="V1492" s="162"/>
      <c r="W1492" s="163"/>
      <c r="X1492" s="164"/>
      <c r="Y1492" s="159" t="s">
        <v>38</v>
      </c>
      <c r="Z1492" s="161"/>
      <c r="AA1492" s="165"/>
      <c r="AE1492" s="155"/>
      <c r="AF1492" s="154" t="s">
        <v>2453</v>
      </c>
      <c r="AI1492" s="154" t="s">
        <v>5590</v>
      </c>
      <c r="AL1492" s="154" t="s">
        <v>621</v>
      </c>
      <c r="AM1492" s="154" t="s">
        <v>2426</v>
      </c>
      <c r="AN1492" s="154">
        <v>2</v>
      </c>
      <c r="AP1492" s="155"/>
      <c r="AQ1492" s="156"/>
      <c r="AR1492" s="157"/>
      <c r="AS1492" s="158"/>
      <c r="AT1492" s="159"/>
      <c r="AU1492" s="161"/>
      <c r="AV1492" s="156"/>
      <c r="AW1492" s="162"/>
      <c r="AX1492" s="163"/>
      <c r="AY1492" s="164"/>
      <c r="AZ1492" s="159"/>
      <c r="BA1492" s="161"/>
      <c r="BB1492" s="165"/>
      <c r="BF1492" s="155"/>
      <c r="BG1492" s="154" t="s">
        <v>5675</v>
      </c>
    </row>
    <row r="1493" spans="1:59" s="154" customFormat="1" ht="15" customHeight="1">
      <c r="A1493" s="153" t="s">
        <v>5461</v>
      </c>
      <c r="B1493" s="153" t="s">
        <v>5591</v>
      </c>
      <c r="C1493" s="154" t="s">
        <v>5491</v>
      </c>
      <c r="D1493" s="155">
        <v>56</v>
      </c>
      <c r="E1493" s="154">
        <v>1</v>
      </c>
      <c r="F1493" s="154" t="s">
        <v>5584</v>
      </c>
      <c r="G1493" s="154" t="s">
        <v>2296</v>
      </c>
      <c r="H1493" s="154" t="s">
        <v>5592</v>
      </c>
      <c r="I1493" s="154" t="s">
        <v>223</v>
      </c>
      <c r="J1493" s="154" t="s">
        <v>29</v>
      </c>
      <c r="K1493" s="154" t="s">
        <v>2426</v>
      </c>
      <c r="N1493" s="155"/>
      <c r="O1493" s="156"/>
      <c r="P1493" s="157"/>
      <c r="Q1493" s="158">
        <v>5</v>
      </c>
      <c r="R1493" s="159">
        <v>5</v>
      </c>
      <c r="S1493" s="160"/>
      <c r="T1493" s="161" t="s">
        <v>4883</v>
      </c>
      <c r="U1493" s="156"/>
      <c r="V1493" s="162">
        <v>1</v>
      </c>
      <c r="W1493" s="163">
        <v>1</v>
      </c>
      <c r="X1493" s="164"/>
      <c r="Y1493" s="159"/>
      <c r="Z1493" s="161"/>
      <c r="AA1493" s="165">
        <v>2</v>
      </c>
      <c r="AD1493" s="154" t="s">
        <v>5593</v>
      </c>
      <c r="AE1493" s="155"/>
      <c r="AF1493" s="154" t="s">
        <v>5676</v>
      </c>
      <c r="AP1493" s="155"/>
      <c r="AQ1493" s="156"/>
      <c r="AR1493" s="157"/>
      <c r="AS1493" s="158"/>
      <c r="AT1493" s="159"/>
      <c r="AU1493" s="161"/>
      <c r="AV1493" s="156"/>
      <c r="AW1493" s="162"/>
      <c r="AX1493" s="163"/>
      <c r="AY1493" s="164"/>
      <c r="AZ1493" s="159"/>
      <c r="BA1493" s="161"/>
      <c r="BB1493" s="165"/>
      <c r="BF1493" s="155"/>
    </row>
    <row r="1494" spans="1:59" s="154" customFormat="1" ht="15" customHeight="1">
      <c r="A1494" s="153" t="s">
        <v>5461</v>
      </c>
      <c r="B1494" s="23" t="s">
        <v>5594</v>
      </c>
      <c r="C1494" s="154" t="s">
        <v>5491</v>
      </c>
      <c r="D1494" s="155">
        <v>57</v>
      </c>
      <c r="E1494" s="154">
        <v>1</v>
      </c>
      <c r="F1494" s="154" t="s">
        <v>5584</v>
      </c>
      <c r="G1494" s="154" t="s">
        <v>5595</v>
      </c>
      <c r="H1494" s="154" t="s">
        <v>5596</v>
      </c>
      <c r="J1494" s="154" t="s">
        <v>31</v>
      </c>
      <c r="K1494" s="154" t="s">
        <v>2426</v>
      </c>
      <c r="N1494" s="155"/>
      <c r="O1494" s="156"/>
      <c r="P1494" s="157"/>
      <c r="Q1494" s="158"/>
      <c r="R1494" s="159"/>
      <c r="S1494" s="160"/>
      <c r="T1494" s="161"/>
      <c r="U1494" s="156"/>
      <c r="V1494" s="162"/>
      <c r="W1494" s="163"/>
      <c r="X1494" s="164">
        <v>9</v>
      </c>
      <c r="Y1494" s="159">
        <v>0</v>
      </c>
      <c r="Z1494" s="161"/>
      <c r="AA1494" s="165"/>
      <c r="AD1494" s="154" t="s">
        <v>2466</v>
      </c>
      <c r="AE1494" s="155"/>
      <c r="AF1494" s="154" t="s">
        <v>5677</v>
      </c>
      <c r="AP1494" s="155"/>
      <c r="AQ1494" s="156"/>
      <c r="AR1494" s="157"/>
      <c r="AS1494" s="158"/>
      <c r="AT1494" s="159"/>
      <c r="AU1494" s="161"/>
      <c r="AV1494" s="156"/>
      <c r="AW1494" s="162"/>
      <c r="AX1494" s="163"/>
      <c r="AY1494" s="164"/>
      <c r="AZ1494" s="159"/>
      <c r="BA1494" s="161"/>
      <c r="BB1494" s="165"/>
      <c r="BF1494" s="155"/>
    </row>
    <row r="1495" spans="1:59" s="154" customFormat="1" ht="15" customHeight="1">
      <c r="A1495" s="153" t="s">
        <v>5461</v>
      </c>
      <c r="B1495" s="23" t="s">
        <v>5597</v>
      </c>
      <c r="C1495" s="154" t="s">
        <v>5491</v>
      </c>
      <c r="D1495" s="155">
        <v>58</v>
      </c>
      <c r="E1495" s="154">
        <v>1</v>
      </c>
      <c r="F1495" s="154" t="s">
        <v>5584</v>
      </c>
      <c r="G1495" s="154" t="s">
        <v>5598</v>
      </c>
      <c r="J1495" s="154" t="s">
        <v>31</v>
      </c>
      <c r="K1495" s="154" t="s">
        <v>2426</v>
      </c>
      <c r="N1495" s="155"/>
      <c r="O1495" s="156"/>
      <c r="P1495" s="157"/>
      <c r="Q1495" s="158"/>
      <c r="R1495" s="159"/>
      <c r="S1495" s="160"/>
      <c r="T1495" s="161"/>
      <c r="U1495" s="156"/>
      <c r="V1495" s="162"/>
      <c r="W1495" s="163"/>
      <c r="X1495" s="164">
        <v>3</v>
      </c>
      <c r="Y1495" s="159">
        <v>1</v>
      </c>
      <c r="Z1495" s="161"/>
      <c r="AA1495" s="165"/>
      <c r="AD1495" s="154" t="s">
        <v>2482</v>
      </c>
      <c r="AE1495" s="155"/>
      <c r="AF1495" s="154" t="s">
        <v>5678</v>
      </c>
      <c r="AP1495" s="155"/>
      <c r="AQ1495" s="156"/>
      <c r="AR1495" s="157"/>
      <c r="AS1495" s="158"/>
      <c r="AT1495" s="159"/>
      <c r="AU1495" s="161"/>
      <c r="AV1495" s="156"/>
      <c r="AW1495" s="162"/>
      <c r="AX1495" s="163"/>
      <c r="AY1495" s="164"/>
      <c r="AZ1495" s="159"/>
      <c r="BA1495" s="161"/>
      <c r="BB1495" s="165"/>
      <c r="BF1495" s="155"/>
    </row>
    <row r="1496" spans="1:59" s="154" customFormat="1" ht="15" customHeight="1">
      <c r="A1496" s="153" t="s">
        <v>5461</v>
      </c>
      <c r="B1496" s="23" t="s">
        <v>5599</v>
      </c>
      <c r="C1496" s="154" t="s">
        <v>5491</v>
      </c>
      <c r="D1496" s="155">
        <v>59</v>
      </c>
      <c r="E1496" s="154">
        <v>1</v>
      </c>
      <c r="F1496" s="154" t="s">
        <v>5584</v>
      </c>
      <c r="G1496" s="154" t="s">
        <v>5600</v>
      </c>
      <c r="J1496" s="154" t="s">
        <v>31</v>
      </c>
      <c r="K1496" s="154" t="s">
        <v>2426</v>
      </c>
      <c r="N1496" s="155"/>
      <c r="O1496" s="156"/>
      <c r="P1496" s="157"/>
      <c r="Q1496" s="158"/>
      <c r="R1496" s="159"/>
      <c r="S1496" s="160"/>
      <c r="T1496" s="161"/>
      <c r="U1496" s="156"/>
      <c r="V1496" s="162"/>
      <c r="W1496" s="163"/>
      <c r="X1496" s="164">
        <v>3</v>
      </c>
      <c r="Y1496" s="159">
        <v>4</v>
      </c>
      <c r="Z1496" s="161"/>
      <c r="AA1496" s="165"/>
      <c r="AD1496" s="154" t="s">
        <v>2482</v>
      </c>
      <c r="AE1496" s="155"/>
      <c r="AF1496" s="154" t="s">
        <v>5679</v>
      </c>
      <c r="AP1496" s="155"/>
      <c r="AQ1496" s="156"/>
      <c r="AR1496" s="157"/>
      <c r="AS1496" s="158"/>
      <c r="AT1496" s="159"/>
      <c r="AU1496" s="161"/>
      <c r="AV1496" s="156"/>
      <c r="AW1496" s="162"/>
      <c r="AX1496" s="163"/>
      <c r="AY1496" s="164"/>
      <c r="AZ1496" s="159"/>
      <c r="BA1496" s="161"/>
      <c r="BB1496" s="165"/>
      <c r="BF1496" s="155"/>
    </row>
    <row r="1497" spans="1:59" s="154" customFormat="1" ht="15" customHeight="1">
      <c r="A1497" s="153" t="s">
        <v>5461</v>
      </c>
      <c r="B1497" s="23" t="s">
        <v>5601</v>
      </c>
      <c r="C1497" s="154" t="s">
        <v>5491</v>
      </c>
      <c r="D1497" s="155">
        <v>60</v>
      </c>
      <c r="E1497" s="154">
        <v>1</v>
      </c>
      <c r="F1497" s="154" t="s">
        <v>5584</v>
      </c>
      <c r="G1497" s="154" t="s">
        <v>5602</v>
      </c>
      <c r="J1497" s="154" t="s">
        <v>31</v>
      </c>
      <c r="K1497" s="154" t="s">
        <v>2426</v>
      </c>
      <c r="N1497" s="155"/>
      <c r="O1497" s="156"/>
      <c r="P1497" s="157"/>
      <c r="Q1497" s="158"/>
      <c r="R1497" s="159"/>
      <c r="S1497" s="160"/>
      <c r="T1497" s="161"/>
      <c r="U1497" s="156"/>
      <c r="V1497" s="162"/>
      <c r="W1497" s="163"/>
      <c r="X1497" s="164">
        <v>3</v>
      </c>
      <c r="Y1497" s="159" t="s">
        <v>1073</v>
      </c>
      <c r="Z1497" s="161"/>
      <c r="AA1497" s="165"/>
      <c r="AD1497" s="154" t="s">
        <v>2482</v>
      </c>
      <c r="AE1497" s="155"/>
      <c r="AF1497" s="154" t="s">
        <v>5680</v>
      </c>
      <c r="AP1497" s="155"/>
      <c r="AQ1497" s="156"/>
      <c r="AR1497" s="157"/>
      <c r="AS1497" s="158"/>
      <c r="AT1497" s="159"/>
      <c r="AU1497" s="161"/>
      <c r="AV1497" s="156"/>
      <c r="AW1497" s="162"/>
      <c r="AX1497" s="163"/>
      <c r="AY1497" s="164"/>
      <c r="AZ1497" s="159"/>
      <c r="BA1497" s="161"/>
      <c r="BB1497" s="165"/>
      <c r="BF1497" s="155"/>
    </row>
    <row r="1498" spans="1:59" s="154" customFormat="1" ht="15" customHeight="1">
      <c r="A1498" s="153" t="s">
        <v>5461</v>
      </c>
      <c r="B1498" s="23" t="s">
        <v>5603</v>
      </c>
      <c r="C1498" s="154" t="s">
        <v>5491</v>
      </c>
      <c r="D1498" s="155">
        <v>61</v>
      </c>
      <c r="E1498" s="154">
        <v>2</v>
      </c>
      <c r="F1498" s="154" t="s">
        <v>5604</v>
      </c>
      <c r="G1498" s="154" t="s">
        <v>5605</v>
      </c>
      <c r="J1498" s="154" t="s">
        <v>28</v>
      </c>
      <c r="K1498" s="154" t="s">
        <v>2426</v>
      </c>
      <c r="N1498" s="155"/>
      <c r="O1498" s="156"/>
      <c r="P1498" s="157"/>
      <c r="Q1498" s="158"/>
      <c r="R1498" s="159"/>
      <c r="S1498" s="160"/>
      <c r="T1498" s="161"/>
      <c r="U1498" s="156"/>
      <c r="V1498" s="162"/>
      <c r="W1498" s="163"/>
      <c r="X1498" s="164"/>
      <c r="Y1498" s="159"/>
      <c r="Z1498" s="161"/>
      <c r="AA1498" s="165"/>
      <c r="AD1498" s="154" t="s">
        <v>486</v>
      </c>
      <c r="AE1498" s="155"/>
      <c r="AF1498" s="154" t="s">
        <v>5681</v>
      </c>
      <c r="AP1498" s="155"/>
      <c r="AQ1498" s="156"/>
      <c r="AR1498" s="157"/>
      <c r="AS1498" s="158"/>
      <c r="AT1498" s="159"/>
      <c r="AU1498" s="161"/>
      <c r="AV1498" s="156"/>
      <c r="AW1498" s="162"/>
      <c r="AX1498" s="163"/>
      <c r="AY1498" s="164"/>
      <c r="AZ1498" s="159"/>
      <c r="BA1498" s="161"/>
      <c r="BB1498" s="165"/>
      <c r="BF1498" s="155"/>
    </row>
    <row r="1499" spans="1:59" s="154" customFormat="1" ht="15" customHeight="1">
      <c r="A1499" s="153" t="s">
        <v>5461</v>
      </c>
      <c r="B1499" s="23" t="s">
        <v>5606</v>
      </c>
      <c r="C1499" s="154" t="s">
        <v>5491</v>
      </c>
      <c r="D1499" s="155">
        <v>62</v>
      </c>
      <c r="E1499" s="154">
        <v>2</v>
      </c>
      <c r="F1499" s="154" t="s">
        <v>5604</v>
      </c>
      <c r="G1499" s="154" t="s">
        <v>5607</v>
      </c>
      <c r="J1499" s="154" t="s">
        <v>28</v>
      </c>
      <c r="K1499" s="154" t="s">
        <v>2426</v>
      </c>
      <c r="N1499" s="155"/>
      <c r="O1499" s="156"/>
      <c r="P1499" s="157"/>
      <c r="Q1499" s="158"/>
      <c r="R1499" s="159"/>
      <c r="S1499" s="160"/>
      <c r="T1499" s="161"/>
      <c r="U1499" s="156"/>
      <c r="V1499" s="162"/>
      <c r="W1499" s="163"/>
      <c r="X1499" s="164"/>
      <c r="Y1499" s="159"/>
      <c r="Z1499" s="161"/>
      <c r="AA1499" s="165"/>
      <c r="AD1499" s="154" t="s">
        <v>486</v>
      </c>
      <c r="AE1499" s="155"/>
      <c r="AF1499" s="154" t="s">
        <v>5682</v>
      </c>
      <c r="AP1499" s="155"/>
      <c r="AQ1499" s="156"/>
      <c r="AR1499" s="157"/>
      <c r="AS1499" s="158"/>
      <c r="AT1499" s="159"/>
      <c r="AU1499" s="161"/>
      <c r="AV1499" s="156"/>
      <c r="AW1499" s="162"/>
      <c r="AX1499" s="163"/>
      <c r="AY1499" s="164"/>
      <c r="AZ1499" s="159"/>
      <c r="BA1499" s="161"/>
      <c r="BB1499" s="165"/>
      <c r="BF1499" s="155"/>
    </row>
    <row r="1500" spans="1:59" s="154" customFormat="1" ht="15" customHeight="1">
      <c r="A1500" s="153" t="s">
        <v>5461</v>
      </c>
      <c r="B1500" s="23" t="s">
        <v>5608</v>
      </c>
      <c r="C1500" s="154" t="s">
        <v>5491</v>
      </c>
      <c r="D1500" s="155">
        <v>63</v>
      </c>
      <c r="E1500" s="154">
        <v>2</v>
      </c>
      <c r="F1500" s="154" t="s">
        <v>5604</v>
      </c>
      <c r="G1500" s="154" t="s">
        <v>5609</v>
      </c>
      <c r="J1500" s="154" t="s">
        <v>28</v>
      </c>
      <c r="K1500" s="154" t="s">
        <v>2426</v>
      </c>
      <c r="N1500" s="155"/>
      <c r="O1500" s="156"/>
      <c r="P1500" s="157"/>
      <c r="Q1500" s="158"/>
      <c r="R1500" s="159"/>
      <c r="S1500" s="160"/>
      <c r="T1500" s="161"/>
      <c r="U1500" s="156"/>
      <c r="V1500" s="162"/>
      <c r="W1500" s="163"/>
      <c r="X1500" s="164"/>
      <c r="Y1500" s="159"/>
      <c r="Z1500" s="161"/>
      <c r="AA1500" s="165"/>
      <c r="AD1500" s="154" t="s">
        <v>486</v>
      </c>
      <c r="AE1500" s="155"/>
      <c r="AF1500" s="154" t="s">
        <v>5683</v>
      </c>
      <c r="AP1500" s="155"/>
      <c r="AQ1500" s="156"/>
      <c r="AR1500" s="157"/>
      <c r="AS1500" s="158"/>
      <c r="AT1500" s="159"/>
      <c r="AU1500" s="161"/>
      <c r="AV1500" s="156"/>
      <c r="AW1500" s="162"/>
      <c r="AX1500" s="163"/>
      <c r="AY1500" s="164"/>
      <c r="AZ1500" s="159"/>
      <c r="BA1500" s="161"/>
      <c r="BB1500" s="165"/>
      <c r="BF1500" s="155"/>
    </row>
    <row r="1501" spans="1:59" s="154" customFormat="1" ht="15" customHeight="1">
      <c r="A1501" s="153" t="s">
        <v>5461</v>
      </c>
      <c r="B1501" s="23" t="s">
        <v>5610</v>
      </c>
      <c r="C1501" s="154" t="s">
        <v>5491</v>
      </c>
      <c r="D1501" s="155">
        <v>64</v>
      </c>
      <c r="E1501" s="154">
        <v>3</v>
      </c>
      <c r="F1501" s="154" t="s">
        <v>5611</v>
      </c>
      <c r="G1501" s="154" t="s">
        <v>5611</v>
      </c>
      <c r="J1501" s="154" t="s">
        <v>28</v>
      </c>
      <c r="K1501" s="154" t="s">
        <v>2426</v>
      </c>
      <c r="N1501" s="155"/>
      <c r="O1501" s="156"/>
      <c r="P1501" s="157"/>
      <c r="Q1501" s="158"/>
      <c r="R1501" s="159"/>
      <c r="S1501" s="160"/>
      <c r="T1501" s="161"/>
      <c r="U1501" s="156"/>
      <c r="V1501" s="162"/>
      <c r="W1501" s="163"/>
      <c r="X1501" s="164"/>
      <c r="Y1501" s="159"/>
      <c r="Z1501" s="161"/>
      <c r="AA1501" s="165"/>
      <c r="AD1501" s="154" t="s">
        <v>492</v>
      </c>
      <c r="AE1501" s="155"/>
      <c r="AF1501" s="154" t="s">
        <v>5684</v>
      </c>
      <c r="AP1501" s="155"/>
      <c r="AQ1501" s="156"/>
      <c r="AR1501" s="157"/>
      <c r="AS1501" s="158"/>
      <c r="AT1501" s="159"/>
      <c r="AU1501" s="161"/>
      <c r="AV1501" s="156"/>
      <c r="AW1501" s="162"/>
      <c r="AX1501" s="163"/>
      <c r="AY1501" s="164"/>
      <c r="AZ1501" s="159"/>
      <c r="BA1501" s="161"/>
      <c r="BB1501" s="165"/>
      <c r="BF1501" s="155"/>
    </row>
    <row r="1502" spans="1:59" s="154" customFormat="1" ht="15" customHeight="1">
      <c r="A1502" s="153" t="s">
        <v>5461</v>
      </c>
      <c r="B1502" s="23" t="s">
        <v>5612</v>
      </c>
      <c r="C1502" s="154" t="s">
        <v>5491</v>
      </c>
      <c r="D1502" s="155">
        <v>65</v>
      </c>
      <c r="E1502" s="154">
        <v>2</v>
      </c>
      <c r="F1502" s="154" t="s">
        <v>5613</v>
      </c>
      <c r="G1502" s="154" t="s">
        <v>5614</v>
      </c>
      <c r="J1502" s="154" t="s">
        <v>28</v>
      </c>
      <c r="K1502" s="154" t="s">
        <v>2426</v>
      </c>
      <c r="N1502" s="155"/>
      <c r="O1502" s="156"/>
      <c r="P1502" s="157"/>
      <c r="Q1502" s="158"/>
      <c r="R1502" s="159"/>
      <c r="S1502" s="160"/>
      <c r="T1502" s="161"/>
      <c r="U1502" s="156"/>
      <c r="V1502" s="162"/>
      <c r="W1502" s="163"/>
      <c r="X1502" s="164"/>
      <c r="Y1502" s="159"/>
      <c r="Z1502" s="161"/>
      <c r="AA1502" s="165"/>
      <c r="AD1502" s="154" t="s">
        <v>834</v>
      </c>
      <c r="AE1502" s="155"/>
      <c r="AF1502" s="154" t="s">
        <v>5685</v>
      </c>
      <c r="AP1502" s="155"/>
      <c r="AQ1502" s="156"/>
      <c r="AR1502" s="157"/>
      <c r="AS1502" s="158"/>
      <c r="AT1502" s="159"/>
      <c r="AU1502" s="161"/>
      <c r="AV1502" s="156"/>
      <c r="AW1502" s="162"/>
      <c r="AX1502" s="163"/>
      <c r="AY1502" s="164"/>
      <c r="AZ1502" s="159"/>
      <c r="BA1502" s="161"/>
      <c r="BB1502" s="165"/>
      <c r="BF1502" s="155"/>
    </row>
    <row r="1503" spans="1:59" s="154" customFormat="1" ht="15" customHeight="1">
      <c r="A1503" s="153" t="s">
        <v>5461</v>
      </c>
      <c r="B1503" s="23" t="s">
        <v>5615</v>
      </c>
      <c r="C1503" s="154" t="s">
        <v>5491</v>
      </c>
      <c r="D1503" s="155">
        <v>66</v>
      </c>
      <c r="E1503" s="154">
        <v>2</v>
      </c>
      <c r="F1503" s="154" t="s">
        <v>5616</v>
      </c>
      <c r="G1503" s="154" t="s">
        <v>5617</v>
      </c>
      <c r="J1503" s="154" t="s">
        <v>28</v>
      </c>
      <c r="K1503" s="154" t="s">
        <v>2426</v>
      </c>
      <c r="N1503" s="155"/>
      <c r="O1503" s="156"/>
      <c r="P1503" s="157"/>
      <c r="Q1503" s="158"/>
      <c r="R1503" s="159"/>
      <c r="S1503" s="160"/>
      <c r="T1503" s="161"/>
      <c r="U1503" s="156"/>
      <c r="V1503" s="162"/>
      <c r="W1503" s="163"/>
      <c r="X1503" s="164"/>
      <c r="Y1503" s="159"/>
      <c r="Z1503" s="161"/>
      <c r="AA1503" s="165"/>
      <c r="AD1503" s="154" t="s">
        <v>479</v>
      </c>
      <c r="AE1503" s="155"/>
      <c r="AF1503" s="154" t="s">
        <v>5686</v>
      </c>
      <c r="AP1503" s="155"/>
      <c r="AQ1503" s="156"/>
      <c r="AR1503" s="157"/>
      <c r="AS1503" s="158"/>
      <c r="AT1503" s="159"/>
      <c r="AU1503" s="161"/>
      <c r="AV1503" s="156"/>
      <c r="AW1503" s="162"/>
      <c r="AX1503" s="163"/>
      <c r="AY1503" s="164"/>
      <c r="AZ1503" s="159"/>
      <c r="BA1503" s="161"/>
      <c r="BB1503" s="165"/>
      <c r="BF1503" s="155"/>
    </row>
    <row r="1504" spans="1:59" s="154" customFormat="1" ht="15" customHeight="1">
      <c r="A1504" s="153" t="s">
        <v>5461</v>
      </c>
      <c r="B1504" s="23" t="s">
        <v>5618</v>
      </c>
      <c r="C1504" s="154" t="s">
        <v>5491</v>
      </c>
      <c r="D1504" s="155">
        <v>67</v>
      </c>
      <c r="E1504" s="154">
        <v>2</v>
      </c>
      <c r="F1504" s="154" t="s">
        <v>5616</v>
      </c>
      <c r="G1504" s="154" t="s">
        <v>5619</v>
      </c>
      <c r="J1504" s="154" t="s">
        <v>28</v>
      </c>
      <c r="K1504" s="154" t="s">
        <v>2426</v>
      </c>
      <c r="N1504" s="155"/>
      <c r="O1504" s="156"/>
      <c r="P1504" s="157"/>
      <c r="Q1504" s="158"/>
      <c r="R1504" s="159"/>
      <c r="S1504" s="160"/>
      <c r="T1504" s="161"/>
      <c r="U1504" s="156"/>
      <c r="V1504" s="162"/>
      <c r="W1504" s="163"/>
      <c r="X1504" s="164"/>
      <c r="Y1504" s="159"/>
      <c r="Z1504" s="161"/>
      <c r="AA1504" s="165"/>
      <c r="AD1504" s="154" t="s">
        <v>479</v>
      </c>
      <c r="AE1504" s="155"/>
      <c r="AF1504" s="154" t="s">
        <v>5687</v>
      </c>
      <c r="AP1504" s="155"/>
      <c r="AQ1504" s="156"/>
      <c r="AR1504" s="157"/>
      <c r="AS1504" s="158"/>
      <c r="AT1504" s="159"/>
      <c r="AU1504" s="161"/>
      <c r="AV1504" s="156"/>
      <c r="AW1504" s="162"/>
      <c r="AX1504" s="163"/>
      <c r="AY1504" s="164"/>
      <c r="AZ1504" s="159"/>
      <c r="BA1504" s="161"/>
      <c r="BB1504" s="165"/>
      <c r="BF1504" s="155"/>
    </row>
    <row r="1505" spans="1:59" s="154" customFormat="1" ht="15" customHeight="1">
      <c r="A1505" s="153" t="s">
        <v>5461</v>
      </c>
      <c r="B1505" s="23" t="s">
        <v>5620</v>
      </c>
      <c r="C1505" s="154" t="s">
        <v>5491</v>
      </c>
      <c r="D1505" s="155">
        <v>68</v>
      </c>
      <c r="E1505" s="154">
        <v>2</v>
      </c>
      <c r="F1505" s="154" t="s">
        <v>5621</v>
      </c>
      <c r="G1505" s="154" t="s">
        <v>5622</v>
      </c>
      <c r="J1505" s="154" t="s">
        <v>28</v>
      </c>
      <c r="K1505" s="154" t="s">
        <v>2426</v>
      </c>
      <c r="N1505" s="155"/>
      <c r="O1505" s="156"/>
      <c r="P1505" s="157"/>
      <c r="Q1505" s="158"/>
      <c r="R1505" s="159"/>
      <c r="S1505" s="160"/>
      <c r="T1505" s="161"/>
      <c r="U1505" s="156"/>
      <c r="V1505" s="162"/>
      <c r="W1505" s="163"/>
      <c r="X1505" s="164"/>
      <c r="Y1505" s="159"/>
      <c r="Z1505" s="161"/>
      <c r="AA1505" s="165"/>
      <c r="AD1505" s="154" t="s">
        <v>481</v>
      </c>
      <c r="AE1505" s="155"/>
      <c r="AF1505" s="154" t="s">
        <v>5688</v>
      </c>
      <c r="AP1505" s="155"/>
      <c r="AQ1505" s="156"/>
      <c r="AR1505" s="157"/>
      <c r="AS1505" s="158"/>
      <c r="AT1505" s="159"/>
      <c r="AU1505" s="161"/>
      <c r="AV1505" s="156"/>
      <c r="AW1505" s="162"/>
      <c r="AX1505" s="163"/>
      <c r="AY1505" s="164"/>
      <c r="AZ1505" s="159"/>
      <c r="BA1505" s="161"/>
      <c r="BB1505" s="165"/>
      <c r="BF1505" s="155"/>
    </row>
    <row r="1506" spans="1:59" s="154" customFormat="1" ht="15" customHeight="1">
      <c r="A1506" s="153" t="s">
        <v>5461</v>
      </c>
      <c r="B1506" s="23" t="s">
        <v>5623</v>
      </c>
      <c r="C1506" s="154" t="s">
        <v>5491</v>
      </c>
      <c r="D1506" s="155">
        <v>69</v>
      </c>
      <c r="E1506" s="154">
        <v>2</v>
      </c>
      <c r="F1506" s="154" t="s">
        <v>5621</v>
      </c>
      <c r="G1506" s="154" t="s">
        <v>5624</v>
      </c>
      <c r="J1506" s="154" t="s">
        <v>28</v>
      </c>
      <c r="K1506" s="154" t="s">
        <v>2426</v>
      </c>
      <c r="N1506" s="155"/>
      <c r="O1506" s="156"/>
      <c r="P1506" s="157"/>
      <c r="Q1506" s="158"/>
      <c r="R1506" s="159"/>
      <c r="S1506" s="160"/>
      <c r="T1506" s="161"/>
      <c r="U1506" s="156"/>
      <c r="V1506" s="162"/>
      <c r="W1506" s="163"/>
      <c r="X1506" s="164"/>
      <c r="Y1506" s="159"/>
      <c r="Z1506" s="161"/>
      <c r="AA1506" s="165"/>
      <c r="AD1506" s="154" t="s">
        <v>481</v>
      </c>
      <c r="AE1506" s="155"/>
      <c r="AF1506" s="154" t="s">
        <v>5689</v>
      </c>
      <c r="AP1506" s="155"/>
      <c r="AQ1506" s="156"/>
      <c r="AR1506" s="157"/>
      <c r="AS1506" s="158"/>
      <c r="AT1506" s="159"/>
      <c r="AU1506" s="161"/>
      <c r="AV1506" s="156"/>
      <c r="AW1506" s="162"/>
      <c r="AX1506" s="163"/>
      <c r="AY1506" s="164"/>
      <c r="AZ1506" s="159"/>
      <c r="BA1506" s="161"/>
      <c r="BB1506" s="165"/>
      <c r="BF1506" s="155"/>
    </row>
    <row r="1507" spans="1:59" s="154" customFormat="1" ht="15" customHeight="1">
      <c r="A1507" s="153" t="s">
        <v>5461</v>
      </c>
      <c r="B1507" s="23" t="s">
        <v>5625</v>
      </c>
      <c r="C1507" s="154" t="s">
        <v>5491</v>
      </c>
      <c r="D1507" s="155">
        <v>70</v>
      </c>
      <c r="E1507" s="154">
        <v>3</v>
      </c>
      <c r="F1507" s="154" t="s">
        <v>5621</v>
      </c>
      <c r="G1507" s="154" t="s">
        <v>5626</v>
      </c>
      <c r="J1507" s="154" t="s">
        <v>28</v>
      </c>
      <c r="K1507" s="154" t="s">
        <v>2426</v>
      </c>
      <c r="N1507" s="155"/>
      <c r="O1507" s="156"/>
      <c r="P1507" s="157"/>
      <c r="Q1507" s="158"/>
      <c r="R1507" s="159"/>
      <c r="S1507" s="160"/>
      <c r="T1507" s="161"/>
      <c r="U1507" s="156"/>
      <c r="V1507" s="162"/>
      <c r="W1507" s="163"/>
      <c r="X1507" s="164"/>
      <c r="Y1507" s="159"/>
      <c r="Z1507" s="161"/>
      <c r="AA1507" s="165"/>
      <c r="AD1507" s="154" t="s">
        <v>481</v>
      </c>
      <c r="AE1507" s="155"/>
      <c r="AF1507" s="154" t="s">
        <v>5690</v>
      </c>
      <c r="AP1507" s="155"/>
      <c r="AQ1507" s="156"/>
      <c r="AR1507" s="157"/>
      <c r="AS1507" s="158"/>
      <c r="AT1507" s="159"/>
      <c r="AU1507" s="161"/>
      <c r="AV1507" s="156"/>
      <c r="AW1507" s="162"/>
      <c r="AX1507" s="163"/>
      <c r="AY1507" s="164"/>
      <c r="AZ1507" s="159"/>
      <c r="BA1507" s="161"/>
      <c r="BB1507" s="165"/>
      <c r="BF1507" s="155"/>
    </row>
    <row r="1508" spans="1:59" s="154" customFormat="1" ht="15" customHeight="1">
      <c r="A1508" s="153" t="s">
        <v>5461</v>
      </c>
      <c r="B1508" s="23" t="s">
        <v>5627</v>
      </c>
      <c r="C1508" s="154" t="s">
        <v>5491</v>
      </c>
      <c r="D1508" s="155">
        <v>71</v>
      </c>
      <c r="E1508" s="154">
        <v>2</v>
      </c>
      <c r="F1508" s="154" t="s">
        <v>5628</v>
      </c>
      <c r="G1508" s="154" t="s">
        <v>5629</v>
      </c>
      <c r="J1508" s="154" t="s">
        <v>29</v>
      </c>
      <c r="K1508" s="154" t="s">
        <v>2426</v>
      </c>
      <c r="N1508" s="155"/>
      <c r="O1508" s="156"/>
      <c r="P1508" s="157"/>
      <c r="Q1508" s="158">
        <v>3</v>
      </c>
      <c r="R1508" s="159">
        <v>2</v>
      </c>
      <c r="S1508" s="160"/>
      <c r="T1508" s="161">
        <v>4</v>
      </c>
      <c r="U1508" s="156"/>
      <c r="V1508" s="162">
        <v>1</v>
      </c>
      <c r="W1508" s="163">
        <v>1</v>
      </c>
      <c r="X1508" s="164"/>
      <c r="Y1508" s="159"/>
      <c r="Z1508" s="161"/>
      <c r="AA1508" s="165">
        <v>1</v>
      </c>
      <c r="AD1508" s="154" t="s">
        <v>1691</v>
      </c>
      <c r="AE1508" s="155"/>
      <c r="AF1508" s="154" t="s">
        <v>5691</v>
      </c>
      <c r="AP1508" s="155"/>
      <c r="AQ1508" s="156"/>
      <c r="AR1508" s="157"/>
      <c r="AS1508" s="158"/>
      <c r="AT1508" s="159"/>
      <c r="AU1508" s="161"/>
      <c r="AV1508" s="156"/>
      <c r="AW1508" s="162"/>
      <c r="AX1508" s="163"/>
      <c r="AY1508" s="164"/>
      <c r="AZ1508" s="159"/>
      <c r="BA1508" s="161"/>
      <c r="BB1508" s="165"/>
      <c r="BF1508" s="155"/>
    </row>
    <row r="1509" spans="1:59" s="154" customFormat="1" ht="15" customHeight="1">
      <c r="A1509" s="153" t="s">
        <v>5461</v>
      </c>
      <c r="B1509" s="23" t="s">
        <v>5630</v>
      </c>
      <c r="C1509" s="154" t="s">
        <v>5491</v>
      </c>
      <c r="D1509" s="155">
        <v>72</v>
      </c>
      <c r="E1509" s="154">
        <v>2</v>
      </c>
      <c r="F1509" s="154" t="s">
        <v>5628</v>
      </c>
      <c r="G1509" s="154" t="s">
        <v>5631</v>
      </c>
      <c r="J1509" s="154" t="s">
        <v>28</v>
      </c>
      <c r="K1509" s="154" t="s">
        <v>2426</v>
      </c>
      <c r="N1509" s="155"/>
      <c r="O1509" s="156"/>
      <c r="P1509" s="157"/>
      <c r="Q1509" s="158"/>
      <c r="R1509" s="159"/>
      <c r="S1509" s="160"/>
      <c r="T1509" s="161"/>
      <c r="U1509" s="156"/>
      <c r="V1509" s="162"/>
      <c r="W1509" s="163"/>
      <c r="X1509" s="164"/>
      <c r="Y1509" s="159"/>
      <c r="Z1509" s="161"/>
      <c r="AA1509" s="165"/>
      <c r="AD1509" s="154" t="s">
        <v>845</v>
      </c>
      <c r="AE1509" s="155"/>
      <c r="AF1509" s="154" t="s">
        <v>5692</v>
      </c>
      <c r="AP1509" s="155"/>
      <c r="AQ1509" s="156"/>
      <c r="AR1509" s="157"/>
      <c r="AS1509" s="158"/>
      <c r="AT1509" s="159"/>
      <c r="AU1509" s="161"/>
      <c r="AV1509" s="156"/>
      <c r="AW1509" s="162"/>
      <c r="AX1509" s="163"/>
      <c r="AY1509" s="164"/>
      <c r="AZ1509" s="159"/>
      <c r="BA1509" s="161"/>
      <c r="BB1509" s="165"/>
      <c r="BF1509" s="155"/>
    </row>
    <row r="1510" spans="1:59" s="171" customFormat="1" ht="15" customHeight="1">
      <c r="A1510" s="153" t="s">
        <v>5693</v>
      </c>
      <c r="B1510" s="154" t="s">
        <v>5694</v>
      </c>
      <c r="C1510" s="154" t="s">
        <v>5695</v>
      </c>
      <c r="D1510" s="170">
        <v>1</v>
      </c>
      <c r="E1510" s="171">
        <v>1</v>
      </c>
      <c r="G1510" s="171" t="s">
        <v>5696</v>
      </c>
      <c r="H1510" s="171" t="s">
        <v>5697</v>
      </c>
      <c r="I1510" s="171" t="s">
        <v>223</v>
      </c>
      <c r="J1510" s="171" t="s">
        <v>203</v>
      </c>
      <c r="K1510" s="171" t="s">
        <v>198</v>
      </c>
      <c r="N1510" s="170"/>
      <c r="O1510" s="156">
        <v>3</v>
      </c>
      <c r="P1510" s="157">
        <v>4</v>
      </c>
      <c r="Q1510" s="158">
        <v>2</v>
      </c>
      <c r="R1510" s="159">
        <v>2</v>
      </c>
      <c r="S1510" s="160"/>
      <c r="T1510" s="161">
        <v>6</v>
      </c>
      <c r="U1510" s="156">
        <v>9</v>
      </c>
      <c r="V1510" s="162"/>
      <c r="W1510" s="163"/>
      <c r="X1510" s="164"/>
      <c r="Y1510" s="159"/>
      <c r="Z1510" s="161"/>
      <c r="AA1510" s="165"/>
      <c r="AD1510" s="171" t="s">
        <v>5698</v>
      </c>
      <c r="AE1510" s="170"/>
      <c r="AF1510" s="171" t="s">
        <v>5699</v>
      </c>
      <c r="AI1510" s="171" t="s">
        <v>5696</v>
      </c>
      <c r="AJ1510" s="171" t="s">
        <v>5697</v>
      </c>
      <c r="AK1510" s="171" t="s">
        <v>223</v>
      </c>
      <c r="AL1510" s="171" t="s">
        <v>203</v>
      </c>
      <c r="AM1510" s="171" t="s">
        <v>198</v>
      </c>
      <c r="AQ1510" s="156"/>
      <c r="AR1510" s="157"/>
      <c r="AS1510" s="158"/>
      <c r="AT1510" s="159"/>
      <c r="AU1510" s="161"/>
      <c r="AV1510" s="156"/>
      <c r="AW1510" s="162"/>
      <c r="AX1510" s="163"/>
      <c r="AY1510" s="164"/>
      <c r="AZ1510" s="159"/>
      <c r="BA1510" s="161"/>
      <c r="BB1510" s="165"/>
      <c r="BE1510" s="171" t="s">
        <v>5698</v>
      </c>
      <c r="BF1510" s="170"/>
      <c r="BG1510" s="171" t="s">
        <v>5700</v>
      </c>
    </row>
    <row r="1511" spans="1:59" s="154" customFormat="1" ht="15" customHeight="1">
      <c r="A1511" s="153" t="s">
        <v>5693</v>
      </c>
      <c r="B1511" s="154" t="s">
        <v>5701</v>
      </c>
      <c r="C1511" s="154" t="s">
        <v>5695</v>
      </c>
      <c r="D1511" s="170">
        <v>2</v>
      </c>
      <c r="E1511" s="154">
        <v>1</v>
      </c>
      <c r="F1511" s="171"/>
      <c r="G1511" s="154" t="s">
        <v>5702</v>
      </c>
      <c r="H1511" s="154" t="s">
        <v>5703</v>
      </c>
      <c r="I1511" s="154" t="s">
        <v>223</v>
      </c>
      <c r="J1511" s="171" t="s">
        <v>203</v>
      </c>
      <c r="K1511" s="154" t="s">
        <v>199</v>
      </c>
      <c r="N1511" s="155"/>
      <c r="O1511" s="156">
        <v>2</v>
      </c>
      <c r="P1511" s="157">
        <v>4</v>
      </c>
      <c r="Q1511" s="158">
        <v>4</v>
      </c>
      <c r="R1511" s="159">
        <v>2</v>
      </c>
      <c r="S1511" s="160"/>
      <c r="T1511" s="161">
        <v>8</v>
      </c>
      <c r="U1511" s="156">
        <v>6</v>
      </c>
      <c r="V1511" s="162"/>
      <c r="W1511" s="163"/>
      <c r="X1511" s="164"/>
      <c r="Y1511" s="159"/>
      <c r="Z1511" s="161"/>
      <c r="AA1511" s="165"/>
      <c r="AD1511" s="154" t="s">
        <v>5704</v>
      </c>
      <c r="AE1511" s="155"/>
      <c r="AF1511" s="154" t="s">
        <v>5705</v>
      </c>
      <c r="AI1511" s="154" t="s">
        <v>5702</v>
      </c>
      <c r="AJ1511" s="154" t="s">
        <v>5703</v>
      </c>
      <c r="AK1511" s="154" t="s">
        <v>223</v>
      </c>
      <c r="AL1511" s="171" t="s">
        <v>203</v>
      </c>
      <c r="AM1511" s="154" t="s">
        <v>199</v>
      </c>
      <c r="AO1511" s="155"/>
      <c r="AP1511" s="155"/>
      <c r="AQ1511" s="156"/>
      <c r="AR1511" s="157"/>
      <c r="AS1511" s="158"/>
      <c r="AT1511" s="159"/>
      <c r="AU1511" s="161"/>
      <c r="AV1511" s="156"/>
      <c r="AW1511" s="162"/>
      <c r="AX1511" s="163"/>
      <c r="AY1511" s="164"/>
      <c r="AZ1511" s="159"/>
      <c r="BA1511" s="161"/>
      <c r="BB1511" s="165"/>
      <c r="BE1511" s="155" t="s">
        <v>5704</v>
      </c>
      <c r="BG1511" s="154" t="s">
        <v>5706</v>
      </c>
    </row>
    <row r="1512" spans="1:59" s="154" customFormat="1" ht="15" customHeight="1">
      <c r="A1512" s="153" t="s">
        <v>5693</v>
      </c>
      <c r="B1512" s="153" t="s">
        <v>5707</v>
      </c>
      <c r="C1512" s="154" t="s">
        <v>5695</v>
      </c>
      <c r="D1512" s="170">
        <v>3</v>
      </c>
      <c r="E1512" s="154">
        <v>1</v>
      </c>
      <c r="F1512" s="171"/>
      <c r="G1512" s="154" t="s">
        <v>5708</v>
      </c>
      <c r="H1512" s="154" t="s">
        <v>5709</v>
      </c>
      <c r="I1512" s="154" t="s">
        <v>223</v>
      </c>
      <c r="J1512" s="171" t="s">
        <v>203</v>
      </c>
      <c r="K1512" s="154" t="s">
        <v>201</v>
      </c>
      <c r="N1512" s="155"/>
      <c r="O1512" s="156">
        <v>1</v>
      </c>
      <c r="P1512" s="157">
        <v>1</v>
      </c>
      <c r="Q1512" s="158">
        <v>1</v>
      </c>
      <c r="R1512" s="159">
        <v>1</v>
      </c>
      <c r="S1512" s="160"/>
      <c r="T1512" s="161">
        <v>7</v>
      </c>
      <c r="U1512" s="156">
        <v>7</v>
      </c>
      <c r="V1512" s="162"/>
      <c r="W1512" s="163"/>
      <c r="X1512" s="164"/>
      <c r="Y1512" s="159"/>
      <c r="Z1512" s="161"/>
      <c r="AA1512" s="165"/>
      <c r="AD1512" s="154" t="s">
        <v>5710</v>
      </c>
      <c r="AE1512" s="155"/>
      <c r="AF1512" s="154" t="s">
        <v>5711</v>
      </c>
      <c r="AI1512" s="154" t="s">
        <v>5708</v>
      </c>
      <c r="AJ1512" s="154" t="s">
        <v>5709</v>
      </c>
      <c r="AK1512" s="154" t="s">
        <v>223</v>
      </c>
      <c r="AL1512" s="171" t="s">
        <v>203</v>
      </c>
      <c r="AM1512" s="154" t="s">
        <v>201</v>
      </c>
      <c r="AO1512" s="155"/>
      <c r="AP1512" s="155"/>
      <c r="AQ1512" s="156"/>
      <c r="AR1512" s="157"/>
      <c r="AS1512" s="158"/>
      <c r="AT1512" s="159"/>
      <c r="AU1512" s="161"/>
      <c r="AV1512" s="156"/>
      <c r="AW1512" s="162"/>
      <c r="AX1512" s="163"/>
      <c r="AY1512" s="164"/>
      <c r="AZ1512" s="159"/>
      <c r="BA1512" s="161"/>
      <c r="BB1512" s="165"/>
      <c r="BE1512" s="155" t="s">
        <v>5710</v>
      </c>
      <c r="BG1512" s="154" t="s">
        <v>5712</v>
      </c>
    </row>
    <row r="1513" spans="1:59" s="154" customFormat="1" ht="15" customHeight="1">
      <c r="A1513" s="153" t="s">
        <v>5693</v>
      </c>
      <c r="B1513" s="153" t="s">
        <v>5713</v>
      </c>
      <c r="C1513" s="154" t="s">
        <v>5695</v>
      </c>
      <c r="D1513" s="170">
        <v>4</v>
      </c>
      <c r="E1513" s="154">
        <v>1</v>
      </c>
      <c r="G1513" s="154" t="s">
        <v>5714</v>
      </c>
      <c r="H1513" s="154" t="s">
        <v>5715</v>
      </c>
      <c r="I1513" s="154" t="s">
        <v>223</v>
      </c>
      <c r="J1513" s="171" t="s">
        <v>203</v>
      </c>
      <c r="K1513" s="154" t="s">
        <v>200</v>
      </c>
      <c r="N1513" s="155"/>
      <c r="O1513" s="156">
        <v>1</v>
      </c>
      <c r="P1513" s="157">
        <v>3</v>
      </c>
      <c r="Q1513" s="158">
        <v>3</v>
      </c>
      <c r="R1513" s="159">
        <v>3</v>
      </c>
      <c r="S1513" s="160"/>
      <c r="T1513" s="161">
        <v>7</v>
      </c>
      <c r="U1513" s="156">
        <v>7</v>
      </c>
      <c r="V1513" s="162"/>
      <c r="W1513" s="163"/>
      <c r="X1513" s="164"/>
      <c r="Y1513" s="159"/>
      <c r="Z1513" s="161"/>
      <c r="AA1513" s="165"/>
      <c r="AD1513" s="154" t="s">
        <v>5716</v>
      </c>
      <c r="AE1513" s="155"/>
      <c r="AF1513" s="154" t="s">
        <v>5717</v>
      </c>
      <c r="AI1513" s="154" t="s">
        <v>5714</v>
      </c>
      <c r="AJ1513" s="154" t="s">
        <v>5715</v>
      </c>
      <c r="AK1513" s="154" t="s">
        <v>223</v>
      </c>
      <c r="AL1513" s="171" t="s">
        <v>203</v>
      </c>
      <c r="AM1513" s="154" t="s">
        <v>200</v>
      </c>
      <c r="AO1513" s="155"/>
      <c r="AP1513" s="155"/>
      <c r="AQ1513" s="156"/>
      <c r="AR1513" s="157"/>
      <c r="AS1513" s="158"/>
      <c r="AT1513" s="159"/>
      <c r="AU1513" s="161"/>
      <c r="AV1513" s="156"/>
      <c r="AW1513" s="162"/>
      <c r="AX1513" s="163"/>
      <c r="AY1513" s="164"/>
      <c r="AZ1513" s="159"/>
      <c r="BA1513" s="161"/>
      <c r="BB1513" s="165"/>
      <c r="BE1513" s="155" t="s">
        <v>5716</v>
      </c>
      <c r="BG1513" s="154" t="s">
        <v>5718</v>
      </c>
    </row>
    <row r="1514" spans="1:59" s="154" customFormat="1" ht="15" customHeight="1">
      <c r="A1514" s="153" t="s">
        <v>5693</v>
      </c>
      <c r="B1514" s="153" t="s">
        <v>5719</v>
      </c>
      <c r="C1514" s="154" t="s">
        <v>5695</v>
      </c>
      <c r="D1514" s="170">
        <v>5</v>
      </c>
      <c r="E1514" s="154">
        <v>1</v>
      </c>
      <c r="G1514" s="154" t="s">
        <v>5720</v>
      </c>
      <c r="H1514" s="154" t="s">
        <v>5721</v>
      </c>
      <c r="I1514" s="154" t="s">
        <v>223</v>
      </c>
      <c r="J1514" s="154" t="s">
        <v>203</v>
      </c>
      <c r="K1514" s="154" t="s">
        <v>202</v>
      </c>
      <c r="O1514" s="156">
        <v>3</v>
      </c>
      <c r="P1514" s="157">
        <v>2</v>
      </c>
      <c r="Q1514" s="158">
        <v>3</v>
      </c>
      <c r="R1514" s="159">
        <v>5</v>
      </c>
      <c r="S1514" s="160"/>
      <c r="T1514" s="161">
        <v>9</v>
      </c>
      <c r="U1514" s="156">
        <v>5</v>
      </c>
      <c r="V1514" s="162"/>
      <c r="W1514" s="163"/>
      <c r="X1514" s="164"/>
      <c r="Y1514" s="159"/>
      <c r="Z1514" s="161"/>
      <c r="AA1514" s="165"/>
      <c r="AD1514" s="154" t="s">
        <v>242</v>
      </c>
      <c r="AF1514" s="154" t="s">
        <v>5722</v>
      </c>
      <c r="AI1514" s="154" t="s">
        <v>5720</v>
      </c>
      <c r="AJ1514" s="154" t="s">
        <v>5721</v>
      </c>
      <c r="AK1514" s="154" t="s">
        <v>223</v>
      </c>
      <c r="AL1514" s="154" t="s">
        <v>203</v>
      </c>
      <c r="AM1514" s="154" t="s">
        <v>202</v>
      </c>
      <c r="AO1514" s="155"/>
      <c r="AQ1514" s="156"/>
      <c r="AR1514" s="157"/>
      <c r="AS1514" s="158"/>
      <c r="AT1514" s="159"/>
      <c r="AU1514" s="161"/>
      <c r="AV1514" s="156"/>
      <c r="AW1514" s="162"/>
      <c r="AX1514" s="163"/>
      <c r="AY1514" s="164"/>
      <c r="AZ1514" s="159"/>
      <c r="BA1514" s="161"/>
      <c r="BB1514" s="165"/>
      <c r="BE1514" s="155" t="s">
        <v>242</v>
      </c>
      <c r="BG1514" s="154" t="s">
        <v>5723</v>
      </c>
    </row>
    <row r="1515" spans="1:59" s="154" customFormat="1" ht="15" customHeight="1">
      <c r="A1515" s="153" t="s">
        <v>5693</v>
      </c>
      <c r="B1515" s="169" t="s">
        <v>5724</v>
      </c>
      <c r="C1515" s="154" t="s">
        <v>5695</v>
      </c>
      <c r="D1515" s="170">
        <v>6</v>
      </c>
      <c r="E1515" s="154">
        <v>1</v>
      </c>
      <c r="G1515" s="154" t="s">
        <v>1114</v>
      </c>
      <c r="H1515" s="154" t="s">
        <v>1115</v>
      </c>
      <c r="I1515" s="154" t="s">
        <v>223</v>
      </c>
      <c r="J1515" s="154" t="s">
        <v>203</v>
      </c>
      <c r="K1515" s="154" t="s">
        <v>200</v>
      </c>
      <c r="O1515" s="156">
        <v>4</v>
      </c>
      <c r="P1515" s="157">
        <v>4</v>
      </c>
      <c r="Q1515" s="158">
        <v>1</v>
      </c>
      <c r="R1515" s="159">
        <v>3</v>
      </c>
      <c r="S1515" s="160"/>
      <c r="T1515" s="161">
        <v>6</v>
      </c>
      <c r="U1515" s="156">
        <v>8</v>
      </c>
      <c r="V1515" s="162"/>
      <c r="W1515" s="163"/>
      <c r="X1515" s="164"/>
      <c r="Y1515" s="159"/>
      <c r="Z1515" s="161"/>
      <c r="AA1515" s="165"/>
      <c r="AD1515" s="154" t="s">
        <v>1116</v>
      </c>
      <c r="AF1515" s="154" t="s">
        <v>5725</v>
      </c>
      <c r="AI1515" s="154" t="s">
        <v>1114</v>
      </c>
      <c r="AJ1515" s="154" t="s">
        <v>1115</v>
      </c>
      <c r="AK1515" s="154" t="s">
        <v>223</v>
      </c>
      <c r="AL1515" s="154" t="s">
        <v>203</v>
      </c>
      <c r="AM1515" s="154" t="s">
        <v>200</v>
      </c>
      <c r="AO1515" s="155"/>
      <c r="AQ1515" s="156"/>
      <c r="AR1515" s="157"/>
      <c r="AS1515" s="158"/>
      <c r="AT1515" s="159"/>
      <c r="AU1515" s="161"/>
      <c r="AV1515" s="156"/>
      <c r="AW1515" s="162"/>
      <c r="AX1515" s="163"/>
      <c r="AY1515" s="164"/>
      <c r="AZ1515" s="159"/>
      <c r="BA1515" s="161"/>
      <c r="BB1515" s="165"/>
      <c r="BE1515" s="155" t="s">
        <v>1116</v>
      </c>
      <c r="BG1515" s="154" t="s">
        <v>5726</v>
      </c>
    </row>
    <row r="1516" spans="1:59" s="154" customFormat="1" ht="15" customHeight="1">
      <c r="A1516" s="153" t="s">
        <v>5693</v>
      </c>
      <c r="B1516" s="169" t="s">
        <v>5727</v>
      </c>
      <c r="C1516" s="154" t="s">
        <v>5695</v>
      </c>
      <c r="D1516" s="170">
        <v>7</v>
      </c>
      <c r="E1516" s="154">
        <v>1</v>
      </c>
      <c r="G1516" s="154" t="s">
        <v>5728</v>
      </c>
      <c r="J1516" s="154" t="s">
        <v>257</v>
      </c>
      <c r="K1516" s="154" t="s">
        <v>26</v>
      </c>
      <c r="N1516" s="154">
        <v>2</v>
      </c>
      <c r="O1516" s="156">
        <v>1</v>
      </c>
      <c r="P1516" s="157">
        <v>1</v>
      </c>
      <c r="Q1516" s="158"/>
      <c r="R1516" s="159"/>
      <c r="S1516" s="160">
        <v>1</v>
      </c>
      <c r="T1516" s="161"/>
      <c r="U1516" s="156"/>
      <c r="V1516" s="162"/>
      <c r="W1516" s="163"/>
      <c r="X1516" s="164"/>
      <c r="Y1516" s="159"/>
      <c r="Z1516" s="161"/>
      <c r="AA1516" s="165"/>
      <c r="AB1516" s="154" t="s">
        <v>1079</v>
      </c>
      <c r="AD1516" s="154" t="s">
        <v>289</v>
      </c>
      <c r="AF1516" s="154" t="s">
        <v>5729</v>
      </c>
      <c r="AO1516" s="155"/>
      <c r="AQ1516" s="156"/>
      <c r="AR1516" s="157"/>
      <c r="AS1516" s="158"/>
      <c r="AT1516" s="159"/>
      <c r="AU1516" s="161"/>
      <c r="AV1516" s="156"/>
      <c r="AW1516" s="162"/>
      <c r="AX1516" s="163"/>
      <c r="AY1516" s="164"/>
      <c r="AZ1516" s="159"/>
      <c r="BA1516" s="161"/>
      <c r="BB1516" s="165"/>
      <c r="BE1516" s="155"/>
    </row>
    <row r="1517" spans="1:59" s="154" customFormat="1" ht="15" customHeight="1">
      <c r="A1517" s="153" t="s">
        <v>5693</v>
      </c>
      <c r="B1517" s="153" t="s">
        <v>5730</v>
      </c>
      <c r="C1517" s="154" t="s">
        <v>5695</v>
      </c>
      <c r="D1517" s="170">
        <v>8</v>
      </c>
      <c r="E1517" s="154">
        <v>1</v>
      </c>
      <c r="G1517" s="154" t="s">
        <v>5731</v>
      </c>
      <c r="J1517" s="154" t="s">
        <v>28</v>
      </c>
      <c r="K1517" s="154" t="s">
        <v>26</v>
      </c>
      <c r="M1517" s="154" t="s">
        <v>648</v>
      </c>
      <c r="O1517" s="156"/>
      <c r="P1517" s="157"/>
      <c r="Q1517" s="158"/>
      <c r="R1517" s="159"/>
      <c r="S1517" s="160"/>
      <c r="T1517" s="161"/>
      <c r="U1517" s="156"/>
      <c r="V1517" s="162"/>
      <c r="W1517" s="163"/>
      <c r="X1517" s="164"/>
      <c r="Y1517" s="159"/>
      <c r="Z1517" s="161"/>
      <c r="AA1517" s="165"/>
      <c r="AD1517" s="154" t="s">
        <v>1449</v>
      </c>
      <c r="AF1517" s="154" t="s">
        <v>5732</v>
      </c>
      <c r="AO1517" s="155"/>
      <c r="AQ1517" s="156"/>
      <c r="AR1517" s="157"/>
      <c r="AS1517" s="158"/>
      <c r="AT1517" s="159"/>
      <c r="AU1517" s="161"/>
      <c r="AV1517" s="156"/>
      <c r="AW1517" s="162"/>
      <c r="AX1517" s="163"/>
      <c r="AY1517" s="164"/>
      <c r="AZ1517" s="159"/>
      <c r="BA1517" s="161"/>
      <c r="BB1517" s="165"/>
      <c r="BE1517" s="155"/>
    </row>
    <row r="1518" spans="1:59" s="154" customFormat="1" ht="15" customHeight="1">
      <c r="A1518" s="153" t="s">
        <v>5693</v>
      </c>
      <c r="B1518" s="153" t="s">
        <v>5733</v>
      </c>
      <c r="C1518" s="154" t="s">
        <v>5695</v>
      </c>
      <c r="D1518" s="170">
        <v>9</v>
      </c>
      <c r="E1518" s="154">
        <v>1</v>
      </c>
      <c r="G1518" s="154" t="s">
        <v>5734</v>
      </c>
      <c r="J1518" s="154" t="s">
        <v>257</v>
      </c>
      <c r="K1518" s="154" t="s">
        <v>26</v>
      </c>
      <c r="N1518" s="172">
        <v>4</v>
      </c>
      <c r="O1518" s="156"/>
      <c r="P1518" s="157">
        <v>1</v>
      </c>
      <c r="Q1518" s="158">
        <v>1</v>
      </c>
      <c r="R1518" s="159"/>
      <c r="S1518" s="160">
        <v>1</v>
      </c>
      <c r="T1518" s="161"/>
      <c r="U1518" s="156"/>
      <c r="V1518" s="162"/>
      <c r="W1518" s="163"/>
      <c r="X1518" s="164"/>
      <c r="Y1518" s="159"/>
      <c r="Z1518" s="161"/>
      <c r="AA1518" s="165"/>
      <c r="AB1518" s="154" t="s">
        <v>4712</v>
      </c>
      <c r="AC1518" s="154" t="s">
        <v>322</v>
      </c>
      <c r="AD1518" s="154" t="s">
        <v>259</v>
      </c>
      <c r="AF1518" s="154" t="s">
        <v>5735</v>
      </c>
      <c r="AO1518" s="155"/>
      <c r="AQ1518" s="156"/>
      <c r="AR1518" s="157"/>
      <c r="AS1518" s="158"/>
      <c r="AT1518" s="159"/>
      <c r="AU1518" s="161"/>
      <c r="AV1518" s="156"/>
      <c r="AW1518" s="162"/>
      <c r="AX1518" s="163"/>
      <c r="AY1518" s="164"/>
      <c r="AZ1518" s="159"/>
      <c r="BA1518" s="161"/>
      <c r="BB1518" s="165"/>
      <c r="BE1518" s="155"/>
    </row>
    <row r="1519" spans="1:59" s="154" customFormat="1" ht="15" customHeight="1">
      <c r="A1519" s="153" t="s">
        <v>5693</v>
      </c>
      <c r="B1519" s="153" t="s">
        <v>5736</v>
      </c>
      <c r="C1519" s="154" t="s">
        <v>5695</v>
      </c>
      <c r="D1519" s="170">
        <v>10</v>
      </c>
      <c r="E1519" s="154">
        <v>1</v>
      </c>
      <c r="G1519" s="154" t="s">
        <v>5737</v>
      </c>
      <c r="J1519" s="154" t="s">
        <v>27</v>
      </c>
      <c r="K1519" s="154" t="s">
        <v>26</v>
      </c>
      <c r="M1519" s="154" t="s">
        <v>648</v>
      </c>
      <c r="N1519" s="154">
        <v>4</v>
      </c>
      <c r="O1519" s="156"/>
      <c r="P1519" s="157"/>
      <c r="Q1519" s="158"/>
      <c r="R1519" s="159"/>
      <c r="S1519" s="160"/>
      <c r="T1519" s="161"/>
      <c r="U1519" s="156"/>
      <c r="V1519" s="162"/>
      <c r="W1519" s="163"/>
      <c r="X1519" s="164"/>
      <c r="Y1519" s="159"/>
      <c r="Z1519" s="161"/>
      <c r="AA1519" s="165"/>
      <c r="AD1519" s="154" t="s">
        <v>5738</v>
      </c>
      <c r="AF1519" s="154" t="s">
        <v>5739</v>
      </c>
      <c r="AO1519" s="155"/>
      <c r="AQ1519" s="156"/>
      <c r="AR1519" s="157"/>
      <c r="AS1519" s="158"/>
      <c r="AT1519" s="159"/>
      <c r="AU1519" s="161"/>
      <c r="AV1519" s="156"/>
      <c r="AW1519" s="162"/>
      <c r="AX1519" s="163"/>
      <c r="AY1519" s="164"/>
      <c r="AZ1519" s="159"/>
      <c r="BA1519" s="161"/>
      <c r="BB1519" s="165"/>
      <c r="BE1519" s="155"/>
    </row>
    <row r="1520" spans="1:59" s="154" customFormat="1" ht="15" customHeight="1">
      <c r="A1520" s="153" t="s">
        <v>5693</v>
      </c>
      <c r="B1520" s="153" t="s">
        <v>5740</v>
      </c>
      <c r="C1520" s="154" t="s">
        <v>5695</v>
      </c>
      <c r="D1520" s="170">
        <v>11</v>
      </c>
      <c r="E1520" s="154">
        <v>1</v>
      </c>
      <c r="G1520" s="154" t="s">
        <v>5741</v>
      </c>
      <c r="H1520" s="154" t="s">
        <v>5742</v>
      </c>
      <c r="I1520" s="154" t="s">
        <v>223</v>
      </c>
      <c r="J1520" s="154" t="s">
        <v>257</v>
      </c>
      <c r="K1520" s="154" t="s">
        <v>26</v>
      </c>
      <c r="O1520" s="156"/>
      <c r="P1520" s="157"/>
      <c r="Q1520" s="158"/>
      <c r="R1520" s="159"/>
      <c r="S1520" s="160"/>
      <c r="T1520" s="161"/>
      <c r="U1520" s="156"/>
      <c r="V1520" s="162"/>
      <c r="W1520" s="163"/>
      <c r="X1520" s="164"/>
      <c r="Y1520" s="159"/>
      <c r="Z1520" s="161"/>
      <c r="AA1520" s="165"/>
      <c r="AD1520" s="154" t="s">
        <v>5743</v>
      </c>
      <c r="AF1520" s="154" t="s">
        <v>5744</v>
      </c>
      <c r="AO1520" s="155"/>
      <c r="AQ1520" s="156"/>
      <c r="AR1520" s="157"/>
      <c r="AS1520" s="158"/>
      <c r="AT1520" s="159"/>
      <c r="AU1520" s="161"/>
      <c r="AV1520" s="156"/>
      <c r="AW1520" s="162"/>
      <c r="AX1520" s="163"/>
      <c r="AY1520" s="164"/>
      <c r="AZ1520" s="159"/>
      <c r="BA1520" s="161"/>
      <c r="BB1520" s="165"/>
      <c r="BE1520" s="155"/>
    </row>
    <row r="1521" spans="1:58" s="154" customFormat="1" ht="15" customHeight="1">
      <c r="A1521" s="153" t="s">
        <v>5693</v>
      </c>
      <c r="B1521" s="153" t="s">
        <v>5745</v>
      </c>
      <c r="C1521" s="154" t="s">
        <v>5695</v>
      </c>
      <c r="D1521" s="170">
        <v>12</v>
      </c>
      <c r="E1521" s="154">
        <v>1</v>
      </c>
      <c r="G1521" s="154" t="s">
        <v>5746</v>
      </c>
      <c r="J1521" s="154" t="s">
        <v>27</v>
      </c>
      <c r="K1521" s="154" t="s">
        <v>26</v>
      </c>
      <c r="M1521" s="154" t="s">
        <v>648</v>
      </c>
      <c r="N1521" s="154">
        <v>10</v>
      </c>
      <c r="O1521" s="156"/>
      <c r="P1521" s="157"/>
      <c r="Q1521" s="158"/>
      <c r="R1521" s="159"/>
      <c r="S1521" s="160"/>
      <c r="T1521" s="161"/>
      <c r="U1521" s="156"/>
      <c r="V1521" s="162"/>
      <c r="W1521" s="163"/>
      <c r="X1521" s="164"/>
      <c r="Y1521" s="159"/>
      <c r="Z1521" s="161"/>
      <c r="AA1521" s="165"/>
      <c r="AD1521" s="154" t="s">
        <v>845</v>
      </c>
      <c r="AF1521" s="154" t="s">
        <v>5747</v>
      </c>
      <c r="AO1521" s="155"/>
      <c r="AQ1521" s="156"/>
      <c r="AR1521" s="157"/>
      <c r="AS1521" s="158"/>
      <c r="AT1521" s="159"/>
      <c r="AU1521" s="161"/>
      <c r="AV1521" s="156"/>
      <c r="AW1521" s="162"/>
      <c r="AX1521" s="163"/>
      <c r="AY1521" s="164"/>
      <c r="AZ1521" s="159"/>
      <c r="BA1521" s="161"/>
      <c r="BB1521" s="165"/>
      <c r="BE1521" s="155"/>
    </row>
    <row r="1522" spans="1:58" s="154" customFormat="1" ht="15" customHeight="1">
      <c r="A1522" s="153" t="s">
        <v>5693</v>
      </c>
      <c r="B1522" s="153" t="s">
        <v>5748</v>
      </c>
      <c r="C1522" s="154" t="s">
        <v>5695</v>
      </c>
      <c r="D1522" s="170">
        <v>13</v>
      </c>
      <c r="E1522" s="154">
        <v>1</v>
      </c>
      <c r="G1522" s="154" t="s">
        <v>5749</v>
      </c>
      <c r="H1522" s="154" t="s">
        <v>5750</v>
      </c>
      <c r="I1522" s="154" t="s">
        <v>223</v>
      </c>
      <c r="J1522" s="154" t="s">
        <v>257</v>
      </c>
      <c r="K1522" s="154" t="s">
        <v>26</v>
      </c>
      <c r="N1522" s="154">
        <v>3</v>
      </c>
      <c r="O1522" s="156">
        <v>1</v>
      </c>
      <c r="P1522" s="157"/>
      <c r="Q1522" s="158">
        <v>1</v>
      </c>
      <c r="R1522" s="159"/>
      <c r="S1522" s="160">
        <v>1</v>
      </c>
      <c r="T1522" s="161"/>
      <c r="U1522" s="156"/>
      <c r="V1522" s="162"/>
      <c r="W1522" s="163"/>
      <c r="X1522" s="164"/>
      <c r="Y1522" s="159"/>
      <c r="Z1522" s="161"/>
      <c r="AA1522" s="165"/>
      <c r="AB1522" s="154" t="s">
        <v>1081</v>
      </c>
      <c r="AC1522" s="154" t="s">
        <v>258</v>
      </c>
      <c r="AD1522" s="154" t="s">
        <v>5751</v>
      </c>
      <c r="AF1522" s="154" t="s">
        <v>5855</v>
      </c>
      <c r="AO1522" s="155"/>
      <c r="AQ1522" s="156"/>
      <c r="AR1522" s="157"/>
      <c r="AS1522" s="158"/>
      <c r="AT1522" s="159"/>
      <c r="AU1522" s="161"/>
      <c r="AV1522" s="156"/>
      <c r="AW1522" s="162"/>
      <c r="AX1522" s="163"/>
      <c r="AY1522" s="164"/>
      <c r="AZ1522" s="159"/>
      <c r="BA1522" s="161"/>
      <c r="BB1522" s="165"/>
      <c r="BE1522" s="155"/>
    </row>
    <row r="1523" spans="1:58" s="154" customFormat="1" ht="15" customHeight="1">
      <c r="A1523" s="153" t="s">
        <v>5693</v>
      </c>
      <c r="B1523" s="153" t="s">
        <v>5752</v>
      </c>
      <c r="C1523" s="154" t="s">
        <v>5695</v>
      </c>
      <c r="D1523" s="170">
        <v>14</v>
      </c>
      <c r="E1523" s="154">
        <v>1</v>
      </c>
      <c r="G1523" s="154" t="s">
        <v>5753</v>
      </c>
      <c r="J1523" s="154" t="s">
        <v>27</v>
      </c>
      <c r="K1523" s="154" t="s">
        <v>26</v>
      </c>
      <c r="N1523" s="154">
        <v>2</v>
      </c>
      <c r="O1523" s="156"/>
      <c r="P1523" s="157"/>
      <c r="Q1523" s="158"/>
      <c r="R1523" s="159"/>
      <c r="S1523" s="160"/>
      <c r="T1523" s="161"/>
      <c r="U1523" s="156"/>
      <c r="V1523" s="162"/>
      <c r="W1523" s="163"/>
      <c r="X1523" s="164"/>
      <c r="Y1523" s="159"/>
      <c r="Z1523" s="161"/>
      <c r="AA1523" s="165"/>
      <c r="AD1523" s="154" t="s">
        <v>340</v>
      </c>
      <c r="AF1523" s="154" t="s">
        <v>5754</v>
      </c>
      <c r="AO1523" s="155"/>
      <c r="AQ1523" s="156"/>
      <c r="AR1523" s="157"/>
      <c r="AS1523" s="158"/>
      <c r="AT1523" s="159"/>
      <c r="AU1523" s="161"/>
      <c r="AV1523" s="156"/>
      <c r="AW1523" s="162"/>
      <c r="AX1523" s="163"/>
      <c r="AY1523" s="164"/>
      <c r="AZ1523" s="159"/>
      <c r="BA1523" s="161"/>
      <c r="BB1523" s="165"/>
      <c r="BE1523" s="155"/>
    </row>
    <row r="1524" spans="1:58" s="154" customFormat="1" ht="15" customHeight="1">
      <c r="A1524" s="153" t="s">
        <v>5693</v>
      </c>
      <c r="B1524" s="153" t="s">
        <v>5755</v>
      </c>
      <c r="C1524" s="154" t="s">
        <v>5695</v>
      </c>
      <c r="D1524" s="170">
        <v>15</v>
      </c>
      <c r="E1524" s="154">
        <v>1</v>
      </c>
      <c r="G1524" s="154" t="s">
        <v>5756</v>
      </c>
      <c r="J1524" s="154" t="s">
        <v>28</v>
      </c>
      <c r="K1524" s="154" t="s">
        <v>26</v>
      </c>
      <c r="M1524" s="154" t="s">
        <v>648</v>
      </c>
      <c r="O1524" s="156"/>
      <c r="P1524" s="157"/>
      <c r="Q1524" s="158"/>
      <c r="R1524" s="159"/>
      <c r="S1524" s="160"/>
      <c r="T1524" s="161"/>
      <c r="U1524" s="156"/>
      <c r="V1524" s="162"/>
      <c r="W1524" s="163"/>
      <c r="X1524" s="164"/>
      <c r="Y1524" s="159"/>
      <c r="Z1524" s="161"/>
      <c r="AA1524" s="165"/>
      <c r="AD1524" s="154" t="s">
        <v>284</v>
      </c>
      <c r="AF1524" s="154" t="s">
        <v>5757</v>
      </c>
      <c r="AO1524" s="155"/>
      <c r="AQ1524" s="156"/>
      <c r="AR1524" s="157"/>
      <c r="AS1524" s="158"/>
      <c r="AT1524" s="159"/>
      <c r="AU1524" s="161"/>
      <c r="AV1524" s="156"/>
      <c r="AW1524" s="162"/>
      <c r="AX1524" s="163"/>
      <c r="AY1524" s="164"/>
      <c r="AZ1524" s="159"/>
      <c r="BA1524" s="161"/>
      <c r="BB1524" s="165"/>
    </row>
    <row r="1525" spans="1:58" s="154" customFormat="1" ht="15" customHeight="1">
      <c r="A1525" s="153" t="s">
        <v>5693</v>
      </c>
      <c r="B1525" s="153" t="s">
        <v>5758</v>
      </c>
      <c r="C1525" s="154" t="s">
        <v>5695</v>
      </c>
      <c r="D1525" s="170">
        <v>16</v>
      </c>
      <c r="E1525" s="154">
        <v>1</v>
      </c>
      <c r="G1525" s="154" t="s">
        <v>5759</v>
      </c>
      <c r="J1525" s="154" t="s">
        <v>27</v>
      </c>
      <c r="K1525" s="171" t="s">
        <v>26</v>
      </c>
      <c r="N1525" s="154">
        <v>0</v>
      </c>
      <c r="O1525" s="156"/>
      <c r="P1525" s="157"/>
      <c r="Q1525" s="158">
        <v>1</v>
      </c>
      <c r="R1525" s="159">
        <v>1</v>
      </c>
      <c r="S1525" s="160">
        <v>1</v>
      </c>
      <c r="T1525" s="161"/>
      <c r="U1525" s="156"/>
      <c r="V1525" s="162"/>
      <c r="W1525" s="163"/>
      <c r="X1525" s="164"/>
      <c r="Y1525" s="159"/>
      <c r="Z1525" s="161"/>
      <c r="AA1525" s="165"/>
      <c r="AB1525" s="154" t="s">
        <v>1078</v>
      </c>
      <c r="AD1525" s="154" t="s">
        <v>1805</v>
      </c>
      <c r="AF1525" s="154" t="s">
        <v>5760</v>
      </c>
      <c r="AM1525" s="171"/>
      <c r="AO1525" s="155"/>
      <c r="AQ1525" s="156"/>
      <c r="AR1525" s="157"/>
      <c r="AS1525" s="158"/>
      <c r="AT1525" s="159"/>
      <c r="AU1525" s="161"/>
      <c r="AV1525" s="156"/>
      <c r="AW1525" s="162"/>
      <c r="AX1525" s="163"/>
      <c r="AY1525" s="164"/>
      <c r="AZ1525" s="159"/>
      <c r="BA1525" s="161"/>
      <c r="BB1525" s="165"/>
    </row>
    <row r="1526" spans="1:58" s="154" customFormat="1" ht="15" customHeight="1">
      <c r="A1526" s="153" t="s">
        <v>5693</v>
      </c>
      <c r="B1526" s="153" t="s">
        <v>5761</v>
      </c>
      <c r="C1526" s="154" t="s">
        <v>5695</v>
      </c>
      <c r="D1526" s="170">
        <v>17</v>
      </c>
      <c r="E1526" s="154">
        <v>1</v>
      </c>
      <c r="G1526" s="154" t="s">
        <v>5762</v>
      </c>
      <c r="J1526" s="154" t="s">
        <v>29</v>
      </c>
      <c r="K1526" s="171" t="s">
        <v>26</v>
      </c>
      <c r="M1526" s="154" t="s">
        <v>648</v>
      </c>
      <c r="O1526" s="156"/>
      <c r="P1526" s="157"/>
      <c r="Q1526" s="158">
        <v>3</v>
      </c>
      <c r="R1526" s="159">
        <v>3</v>
      </c>
      <c r="S1526" s="160"/>
      <c r="T1526" s="161">
        <v>3</v>
      </c>
      <c r="U1526" s="156"/>
      <c r="V1526" s="162">
        <v>1</v>
      </c>
      <c r="W1526" s="163">
        <v>1</v>
      </c>
      <c r="X1526" s="164"/>
      <c r="Y1526" s="159"/>
      <c r="Z1526" s="161"/>
      <c r="AA1526" s="165"/>
      <c r="AD1526" s="154" t="s">
        <v>467</v>
      </c>
      <c r="AF1526" s="154" t="s">
        <v>5763</v>
      </c>
      <c r="AO1526" s="155"/>
      <c r="AQ1526" s="156"/>
      <c r="AR1526" s="157"/>
      <c r="AS1526" s="158"/>
      <c r="AT1526" s="159"/>
      <c r="AU1526" s="161"/>
      <c r="AV1526" s="156"/>
      <c r="AW1526" s="162"/>
      <c r="AX1526" s="163"/>
      <c r="AY1526" s="164"/>
      <c r="AZ1526" s="159"/>
      <c r="BA1526" s="161"/>
      <c r="BB1526" s="165"/>
      <c r="BE1526" s="155"/>
    </row>
    <row r="1527" spans="1:58" s="154" customFormat="1" ht="15" customHeight="1">
      <c r="A1527" s="153" t="s">
        <v>5693</v>
      </c>
      <c r="B1527" s="169" t="s">
        <v>5764</v>
      </c>
      <c r="C1527" s="154" t="s">
        <v>5695</v>
      </c>
      <c r="D1527" s="170">
        <v>18</v>
      </c>
      <c r="E1527" s="154">
        <v>1</v>
      </c>
      <c r="G1527" s="154" t="s">
        <v>1118</v>
      </c>
      <c r="J1527" s="154" t="s">
        <v>27</v>
      </c>
      <c r="K1527" s="171" t="s">
        <v>26</v>
      </c>
      <c r="N1527" s="154">
        <v>3</v>
      </c>
      <c r="O1527" s="156"/>
      <c r="P1527" s="157"/>
      <c r="Q1527" s="158"/>
      <c r="R1527" s="159"/>
      <c r="S1527" s="160">
        <v>2</v>
      </c>
      <c r="T1527" s="161"/>
      <c r="U1527" s="156"/>
      <c r="V1527" s="162"/>
      <c r="W1527" s="163"/>
      <c r="X1527" s="164"/>
      <c r="Y1527" s="159"/>
      <c r="Z1527" s="161"/>
      <c r="AA1527" s="165"/>
      <c r="AB1527" s="154" t="s">
        <v>1082</v>
      </c>
      <c r="AD1527" s="154" t="s">
        <v>1119</v>
      </c>
      <c r="AF1527" s="154" t="s">
        <v>1120</v>
      </c>
      <c r="AO1527" s="155"/>
      <c r="AQ1527" s="156"/>
      <c r="AR1527" s="157"/>
      <c r="AS1527" s="158"/>
      <c r="AT1527" s="159"/>
      <c r="AU1527" s="161"/>
      <c r="AV1527" s="156"/>
      <c r="AW1527" s="162"/>
      <c r="AX1527" s="163"/>
      <c r="AY1527" s="164"/>
      <c r="AZ1527" s="159"/>
      <c r="BA1527" s="161"/>
      <c r="BB1527" s="165"/>
      <c r="BE1527" s="155"/>
    </row>
    <row r="1528" spans="1:58" s="154" customFormat="1" ht="15" customHeight="1">
      <c r="A1528" s="153" t="s">
        <v>5693</v>
      </c>
      <c r="B1528" s="153" t="s">
        <v>5765</v>
      </c>
      <c r="C1528" s="154" t="s">
        <v>5695</v>
      </c>
      <c r="D1528" s="170">
        <v>19</v>
      </c>
      <c r="E1528" s="154">
        <v>1</v>
      </c>
      <c r="G1528" s="154" t="s">
        <v>1121</v>
      </c>
      <c r="H1528" s="154" t="s">
        <v>1122</v>
      </c>
      <c r="I1528" s="154" t="s">
        <v>223</v>
      </c>
      <c r="J1528" s="154" t="s">
        <v>257</v>
      </c>
      <c r="K1528" s="154" t="s">
        <v>26</v>
      </c>
      <c r="M1528" s="154" t="s">
        <v>648</v>
      </c>
      <c r="O1528" s="156"/>
      <c r="P1528" s="157"/>
      <c r="Q1528" s="158"/>
      <c r="R1528" s="159"/>
      <c r="S1528" s="160"/>
      <c r="T1528" s="161"/>
      <c r="U1528" s="156"/>
      <c r="V1528" s="162"/>
      <c r="W1528" s="163"/>
      <c r="X1528" s="164"/>
      <c r="Y1528" s="159"/>
      <c r="Z1528" s="161"/>
      <c r="AA1528" s="165"/>
      <c r="AC1528" s="154" t="s">
        <v>25</v>
      </c>
      <c r="AD1528" s="154" t="s">
        <v>1123</v>
      </c>
      <c r="AF1528" s="154" t="s">
        <v>5856</v>
      </c>
      <c r="AO1528" s="155"/>
      <c r="AQ1528" s="156"/>
      <c r="AR1528" s="157"/>
      <c r="AS1528" s="158"/>
      <c r="AT1528" s="159"/>
      <c r="AU1528" s="161"/>
      <c r="AV1528" s="156"/>
      <c r="AW1528" s="162"/>
      <c r="AX1528" s="163"/>
      <c r="AY1528" s="164"/>
      <c r="AZ1528" s="159"/>
      <c r="BA1528" s="161"/>
      <c r="BB1528" s="165"/>
      <c r="BE1528" s="155"/>
    </row>
    <row r="1529" spans="1:58" s="154" customFormat="1" ht="15" customHeight="1">
      <c r="A1529" s="153" t="s">
        <v>5693</v>
      </c>
      <c r="B1529" s="153" t="s">
        <v>5766</v>
      </c>
      <c r="C1529" s="154" t="s">
        <v>5695</v>
      </c>
      <c r="D1529" s="170">
        <v>20</v>
      </c>
      <c r="E1529" s="154">
        <v>2</v>
      </c>
      <c r="G1529" s="154" t="s">
        <v>5767</v>
      </c>
      <c r="J1529" s="154" t="s">
        <v>27</v>
      </c>
      <c r="K1529" s="154" t="s">
        <v>198</v>
      </c>
      <c r="L1529" s="154">
        <v>0</v>
      </c>
      <c r="N1529" s="154">
        <v>2</v>
      </c>
      <c r="O1529" s="156"/>
      <c r="P1529" s="157">
        <v>1</v>
      </c>
      <c r="Q1529" s="158">
        <v>1</v>
      </c>
      <c r="R1529" s="159"/>
      <c r="S1529" s="160"/>
      <c r="T1529" s="161"/>
      <c r="U1529" s="156"/>
      <c r="V1529" s="162"/>
      <c r="W1529" s="163"/>
      <c r="X1529" s="164"/>
      <c r="Y1529" s="159"/>
      <c r="Z1529" s="161"/>
      <c r="AA1529" s="165"/>
      <c r="AB1529" s="154" t="s">
        <v>1091</v>
      </c>
      <c r="AD1529" s="154" t="s">
        <v>5768</v>
      </c>
      <c r="AF1529" s="154" t="s">
        <v>5769</v>
      </c>
      <c r="AP1529" s="155"/>
      <c r="AQ1529" s="156"/>
      <c r="AR1529" s="157"/>
      <c r="AS1529" s="158"/>
      <c r="AT1529" s="159"/>
      <c r="AU1529" s="161"/>
      <c r="AV1529" s="156"/>
      <c r="AW1529" s="162"/>
      <c r="AX1529" s="163"/>
      <c r="AY1529" s="164"/>
      <c r="AZ1529" s="159"/>
      <c r="BA1529" s="161"/>
      <c r="BB1529" s="165"/>
      <c r="BF1529" s="155"/>
    </row>
    <row r="1530" spans="1:58" s="154" customFormat="1" ht="15" customHeight="1">
      <c r="A1530" s="153" t="s">
        <v>5693</v>
      </c>
      <c r="B1530" s="153" t="s">
        <v>5770</v>
      </c>
      <c r="C1530" s="154" t="s">
        <v>5695</v>
      </c>
      <c r="D1530" s="170">
        <v>21</v>
      </c>
      <c r="E1530" s="154">
        <v>2</v>
      </c>
      <c r="G1530" s="154" t="s">
        <v>5771</v>
      </c>
      <c r="J1530" s="154" t="s">
        <v>27</v>
      </c>
      <c r="K1530" s="154" t="s">
        <v>198</v>
      </c>
      <c r="L1530" s="154">
        <v>0</v>
      </c>
      <c r="N1530" s="155">
        <v>2</v>
      </c>
      <c r="O1530" s="156"/>
      <c r="P1530" s="157"/>
      <c r="Q1530" s="158">
        <v>1</v>
      </c>
      <c r="R1530" s="159">
        <v>1</v>
      </c>
      <c r="S1530" s="160"/>
      <c r="T1530" s="161"/>
      <c r="U1530" s="156"/>
      <c r="V1530" s="162"/>
      <c r="W1530" s="163"/>
      <c r="X1530" s="164"/>
      <c r="Y1530" s="159"/>
      <c r="Z1530" s="161"/>
      <c r="AA1530" s="165"/>
      <c r="AB1530" s="154" t="s">
        <v>1087</v>
      </c>
      <c r="AD1530" s="154" t="s">
        <v>5772</v>
      </c>
      <c r="AE1530" s="155"/>
      <c r="AF1530" s="154" t="s">
        <v>5773</v>
      </c>
      <c r="AP1530" s="155"/>
      <c r="AQ1530" s="156"/>
      <c r="AR1530" s="157"/>
      <c r="AS1530" s="158"/>
      <c r="AT1530" s="159"/>
      <c r="AU1530" s="161"/>
      <c r="AV1530" s="156"/>
      <c r="AW1530" s="162"/>
      <c r="AX1530" s="163"/>
      <c r="AY1530" s="164"/>
      <c r="AZ1530" s="159"/>
      <c r="BA1530" s="161"/>
      <c r="BB1530" s="165"/>
      <c r="BF1530" s="155"/>
    </row>
    <row r="1531" spans="1:58" s="154" customFormat="1" ht="15" customHeight="1">
      <c r="A1531" s="153" t="s">
        <v>5693</v>
      </c>
      <c r="B1531" s="153" t="s">
        <v>5774</v>
      </c>
      <c r="C1531" s="154" t="s">
        <v>5695</v>
      </c>
      <c r="D1531" s="170">
        <v>22</v>
      </c>
      <c r="E1531" s="154">
        <v>2</v>
      </c>
      <c r="G1531" s="154" t="s">
        <v>5775</v>
      </c>
      <c r="J1531" s="154" t="s">
        <v>312</v>
      </c>
      <c r="K1531" s="154" t="s">
        <v>198</v>
      </c>
      <c r="L1531" s="154">
        <v>0</v>
      </c>
      <c r="N1531" s="155"/>
      <c r="O1531" s="156">
        <v>1</v>
      </c>
      <c r="P1531" s="157"/>
      <c r="Q1531" s="158">
        <v>1</v>
      </c>
      <c r="R1531" s="159"/>
      <c r="S1531" s="160"/>
      <c r="T1531" s="161"/>
      <c r="U1531" s="156"/>
      <c r="V1531" s="162"/>
      <c r="W1531" s="163"/>
      <c r="X1531" s="164"/>
      <c r="Y1531" s="159"/>
      <c r="Z1531" s="161"/>
      <c r="AA1531" s="165"/>
      <c r="AB1531" s="154" t="s">
        <v>1083</v>
      </c>
      <c r="AD1531" s="154" t="s">
        <v>412</v>
      </c>
      <c r="AE1531" s="155"/>
      <c r="AF1531" s="154" t="s">
        <v>5776</v>
      </c>
      <c r="AP1531" s="155"/>
      <c r="AQ1531" s="156"/>
      <c r="AR1531" s="157"/>
      <c r="AS1531" s="158"/>
      <c r="AT1531" s="159"/>
      <c r="AU1531" s="161"/>
      <c r="AV1531" s="156"/>
      <c r="AW1531" s="162"/>
      <c r="AX1531" s="163"/>
      <c r="AY1531" s="164"/>
      <c r="AZ1531" s="159"/>
      <c r="BA1531" s="161"/>
      <c r="BB1531" s="165"/>
      <c r="BF1531" s="155"/>
    </row>
    <row r="1532" spans="1:58" s="154" customFormat="1" ht="15" customHeight="1">
      <c r="A1532" s="153" t="s">
        <v>5693</v>
      </c>
      <c r="B1532" s="153" t="s">
        <v>5777</v>
      </c>
      <c r="C1532" s="154" t="s">
        <v>5695</v>
      </c>
      <c r="D1532" s="170">
        <v>23</v>
      </c>
      <c r="E1532" s="154">
        <v>2</v>
      </c>
      <c r="G1532" s="154" t="s">
        <v>5778</v>
      </c>
      <c r="H1532" s="154" t="s">
        <v>5779</v>
      </c>
      <c r="J1532" s="154" t="s">
        <v>257</v>
      </c>
      <c r="K1532" s="154" t="s">
        <v>198</v>
      </c>
      <c r="L1532" s="154">
        <v>1</v>
      </c>
      <c r="N1532" s="155">
        <v>3</v>
      </c>
      <c r="O1532" s="156"/>
      <c r="P1532" s="157"/>
      <c r="Q1532" s="158"/>
      <c r="R1532" s="159"/>
      <c r="S1532" s="160"/>
      <c r="T1532" s="161"/>
      <c r="U1532" s="156"/>
      <c r="V1532" s="162"/>
      <c r="W1532" s="163"/>
      <c r="X1532" s="164"/>
      <c r="Y1532" s="159"/>
      <c r="Z1532" s="161"/>
      <c r="AA1532" s="165"/>
      <c r="AC1532" s="154" t="s">
        <v>5780</v>
      </c>
      <c r="AD1532" s="154" t="s">
        <v>5781</v>
      </c>
      <c r="AE1532" s="155"/>
      <c r="AF1532" s="154" t="s">
        <v>5782</v>
      </c>
      <c r="AP1532" s="155"/>
      <c r="AQ1532" s="156"/>
      <c r="AR1532" s="157"/>
      <c r="AS1532" s="158"/>
      <c r="AT1532" s="159"/>
      <c r="AU1532" s="161"/>
      <c r="AV1532" s="156"/>
      <c r="AW1532" s="162"/>
      <c r="AX1532" s="163"/>
      <c r="AY1532" s="164"/>
      <c r="AZ1532" s="159"/>
      <c r="BA1532" s="161"/>
      <c r="BB1532" s="165"/>
      <c r="BF1532" s="155"/>
    </row>
    <row r="1533" spans="1:58" s="154" customFormat="1" ht="15" customHeight="1">
      <c r="A1533" s="153" t="s">
        <v>5693</v>
      </c>
      <c r="B1533" s="169" t="s">
        <v>5783</v>
      </c>
      <c r="C1533" s="154" t="s">
        <v>5695</v>
      </c>
      <c r="D1533" s="170">
        <v>24</v>
      </c>
      <c r="E1533" s="154">
        <v>2</v>
      </c>
      <c r="G1533" s="154" t="s">
        <v>5784</v>
      </c>
      <c r="J1533" s="154" t="s">
        <v>257</v>
      </c>
      <c r="K1533" s="154" t="s">
        <v>199</v>
      </c>
      <c r="L1533" s="154">
        <v>0</v>
      </c>
      <c r="N1533" s="155">
        <v>4</v>
      </c>
      <c r="O1533" s="156"/>
      <c r="P1533" s="157">
        <v>1</v>
      </c>
      <c r="Q1533" s="158"/>
      <c r="R1533" s="159"/>
      <c r="S1533" s="160"/>
      <c r="T1533" s="161"/>
      <c r="U1533" s="156"/>
      <c r="V1533" s="162"/>
      <c r="W1533" s="163"/>
      <c r="X1533" s="164"/>
      <c r="Y1533" s="159"/>
      <c r="Z1533" s="161"/>
      <c r="AA1533" s="165"/>
      <c r="AB1533" s="154" t="s">
        <v>205</v>
      </c>
      <c r="AC1533" s="154" t="s">
        <v>258</v>
      </c>
      <c r="AD1533" s="154" t="s">
        <v>5785</v>
      </c>
      <c r="AE1533" s="155"/>
      <c r="AF1533" s="154" t="s">
        <v>5786</v>
      </c>
      <c r="AP1533" s="155"/>
      <c r="AQ1533" s="156"/>
      <c r="AR1533" s="157"/>
      <c r="AS1533" s="158"/>
      <c r="AT1533" s="159"/>
      <c r="AU1533" s="161"/>
      <c r="AV1533" s="156"/>
      <c r="AW1533" s="162"/>
      <c r="AX1533" s="163"/>
      <c r="AY1533" s="164"/>
      <c r="AZ1533" s="159"/>
      <c r="BA1533" s="161"/>
      <c r="BB1533" s="165"/>
      <c r="BF1533" s="155"/>
    </row>
    <row r="1534" spans="1:58" s="154" customFormat="1" ht="15" customHeight="1">
      <c r="A1534" s="153" t="s">
        <v>5693</v>
      </c>
      <c r="B1534" s="153" t="s">
        <v>5787</v>
      </c>
      <c r="C1534" s="154" t="s">
        <v>5695</v>
      </c>
      <c r="D1534" s="170">
        <v>25</v>
      </c>
      <c r="E1534" s="154">
        <v>2</v>
      </c>
      <c r="G1534" s="154" t="s">
        <v>5788</v>
      </c>
      <c r="J1534" s="154" t="s">
        <v>27</v>
      </c>
      <c r="K1534" s="154" t="s">
        <v>199</v>
      </c>
      <c r="L1534" s="154">
        <v>0</v>
      </c>
      <c r="N1534" s="155">
        <v>4</v>
      </c>
      <c r="O1534" s="156"/>
      <c r="P1534" s="157">
        <v>2</v>
      </c>
      <c r="Q1534" s="158"/>
      <c r="R1534" s="159"/>
      <c r="S1534" s="160"/>
      <c r="T1534" s="161"/>
      <c r="U1534" s="156"/>
      <c r="V1534" s="162"/>
      <c r="W1534" s="163"/>
      <c r="X1534" s="164"/>
      <c r="Y1534" s="159"/>
      <c r="Z1534" s="161"/>
      <c r="AA1534" s="165"/>
      <c r="AB1534" s="154" t="s">
        <v>1084</v>
      </c>
      <c r="AD1534" s="154" t="s">
        <v>340</v>
      </c>
      <c r="AE1534" s="155"/>
      <c r="AF1534" s="154" t="s">
        <v>5789</v>
      </c>
      <c r="AP1534" s="155"/>
      <c r="AQ1534" s="156"/>
      <c r="AR1534" s="157"/>
      <c r="AS1534" s="158"/>
      <c r="AT1534" s="159"/>
      <c r="AU1534" s="161"/>
      <c r="AV1534" s="156"/>
      <c r="AW1534" s="162"/>
      <c r="AX1534" s="163"/>
      <c r="AY1534" s="164"/>
      <c r="AZ1534" s="159"/>
      <c r="BA1534" s="161"/>
      <c r="BB1534" s="165"/>
      <c r="BF1534" s="155"/>
    </row>
    <row r="1535" spans="1:58" s="154" customFormat="1" ht="15" customHeight="1">
      <c r="A1535" s="153" t="s">
        <v>5693</v>
      </c>
      <c r="B1535" s="153" t="s">
        <v>5790</v>
      </c>
      <c r="C1535" s="154" t="s">
        <v>5695</v>
      </c>
      <c r="D1535" s="170">
        <v>26</v>
      </c>
      <c r="E1535" s="154">
        <v>2</v>
      </c>
      <c r="G1535" s="154" t="s">
        <v>5791</v>
      </c>
      <c r="J1535" s="154" t="s">
        <v>312</v>
      </c>
      <c r="K1535" s="154" t="s">
        <v>199</v>
      </c>
      <c r="L1535" s="154">
        <v>0</v>
      </c>
      <c r="N1535" s="155"/>
      <c r="O1535" s="156">
        <v>1</v>
      </c>
      <c r="P1535" s="157">
        <v>1</v>
      </c>
      <c r="Q1535" s="158"/>
      <c r="R1535" s="159"/>
      <c r="S1535" s="160"/>
      <c r="T1535" s="161"/>
      <c r="U1535" s="156"/>
      <c r="V1535" s="162"/>
      <c r="W1535" s="163"/>
      <c r="X1535" s="164"/>
      <c r="Y1535" s="159"/>
      <c r="Z1535" s="161"/>
      <c r="AA1535" s="165"/>
      <c r="AB1535" s="154" t="s">
        <v>1092</v>
      </c>
      <c r="AD1535" s="154" t="s">
        <v>412</v>
      </c>
      <c r="AE1535" s="155"/>
      <c r="AF1535" s="154" t="s">
        <v>5792</v>
      </c>
      <c r="AI1535" s="153"/>
      <c r="AP1535" s="155"/>
      <c r="AQ1535" s="156"/>
      <c r="AR1535" s="157"/>
      <c r="AS1535" s="158"/>
      <c r="AT1535" s="159"/>
      <c r="AU1535" s="161"/>
      <c r="AV1535" s="156"/>
      <c r="AW1535" s="162"/>
      <c r="AX1535" s="163"/>
      <c r="AY1535" s="164"/>
      <c r="AZ1535" s="159"/>
      <c r="BA1535" s="161"/>
      <c r="BB1535" s="165"/>
      <c r="BF1535" s="155"/>
    </row>
    <row r="1536" spans="1:58" s="154" customFormat="1" ht="15" customHeight="1">
      <c r="A1536" s="153" t="s">
        <v>5693</v>
      </c>
      <c r="B1536" s="169" t="s">
        <v>5793</v>
      </c>
      <c r="C1536" s="154" t="s">
        <v>5695</v>
      </c>
      <c r="D1536" s="170">
        <v>27</v>
      </c>
      <c r="E1536" s="154">
        <v>2</v>
      </c>
      <c r="G1536" s="154" t="s">
        <v>5794</v>
      </c>
      <c r="H1536" s="154" t="s">
        <v>5795</v>
      </c>
      <c r="J1536" s="154" t="s">
        <v>257</v>
      </c>
      <c r="K1536" s="154" t="s">
        <v>199</v>
      </c>
      <c r="L1536" s="154">
        <v>1</v>
      </c>
      <c r="N1536" s="155">
        <v>3</v>
      </c>
      <c r="O1536" s="156"/>
      <c r="P1536" s="157"/>
      <c r="Q1536" s="158"/>
      <c r="R1536" s="159"/>
      <c r="S1536" s="160"/>
      <c r="T1536" s="161"/>
      <c r="U1536" s="156"/>
      <c r="V1536" s="162"/>
      <c r="W1536" s="163"/>
      <c r="X1536" s="164"/>
      <c r="Y1536" s="159"/>
      <c r="Z1536" s="161"/>
      <c r="AA1536" s="165"/>
      <c r="AC1536" s="154" t="s">
        <v>5780</v>
      </c>
      <c r="AD1536" s="154" t="s">
        <v>5781</v>
      </c>
      <c r="AE1536" s="155"/>
      <c r="AF1536" s="154" t="s">
        <v>5857</v>
      </c>
      <c r="AP1536" s="155"/>
      <c r="AQ1536" s="156"/>
      <c r="AR1536" s="157"/>
      <c r="AS1536" s="158"/>
      <c r="AT1536" s="159"/>
      <c r="AU1536" s="161"/>
      <c r="AV1536" s="156"/>
      <c r="AW1536" s="162"/>
      <c r="AX1536" s="163"/>
      <c r="AY1536" s="164"/>
      <c r="AZ1536" s="159"/>
      <c r="BA1536" s="161"/>
      <c r="BB1536" s="165"/>
      <c r="BF1536" s="155"/>
    </row>
    <row r="1537" spans="1:59" s="154" customFormat="1" ht="15" customHeight="1">
      <c r="A1537" s="153" t="s">
        <v>5693</v>
      </c>
      <c r="B1537" s="153" t="s">
        <v>5796</v>
      </c>
      <c r="C1537" s="154" t="s">
        <v>5695</v>
      </c>
      <c r="D1537" s="170">
        <v>28</v>
      </c>
      <c r="E1537" s="154">
        <v>2</v>
      </c>
      <c r="G1537" s="154" t="s">
        <v>5797</v>
      </c>
      <c r="J1537" s="154" t="s">
        <v>257</v>
      </c>
      <c r="K1537" s="154" t="s">
        <v>201</v>
      </c>
      <c r="L1537" s="154">
        <v>0</v>
      </c>
      <c r="N1537" s="155">
        <v>2</v>
      </c>
      <c r="O1537" s="156"/>
      <c r="P1537" s="157"/>
      <c r="Q1537" s="158"/>
      <c r="R1537" s="159"/>
      <c r="S1537" s="160"/>
      <c r="T1537" s="161"/>
      <c r="U1537" s="156"/>
      <c r="V1537" s="162"/>
      <c r="W1537" s="163"/>
      <c r="X1537" s="164"/>
      <c r="Y1537" s="159"/>
      <c r="Z1537" s="161"/>
      <c r="AA1537" s="165"/>
      <c r="AD1537" s="154" t="s">
        <v>2195</v>
      </c>
      <c r="AE1537" s="155"/>
      <c r="AF1537" s="154" t="s">
        <v>5798</v>
      </c>
      <c r="AP1537" s="155"/>
      <c r="AQ1537" s="156"/>
      <c r="AR1537" s="157"/>
      <c r="AS1537" s="158"/>
      <c r="AT1537" s="159"/>
      <c r="AU1537" s="161"/>
      <c r="AV1537" s="156"/>
      <c r="AW1537" s="162"/>
      <c r="AX1537" s="163"/>
      <c r="AY1537" s="164"/>
      <c r="AZ1537" s="159"/>
      <c r="BA1537" s="161"/>
      <c r="BB1537" s="165"/>
      <c r="BF1537" s="155"/>
    </row>
    <row r="1538" spans="1:59" s="154" customFormat="1" ht="15" customHeight="1">
      <c r="A1538" s="153" t="s">
        <v>5693</v>
      </c>
      <c r="B1538" s="153" t="s">
        <v>5799</v>
      </c>
      <c r="C1538" s="154" t="s">
        <v>5695</v>
      </c>
      <c r="D1538" s="170">
        <v>29</v>
      </c>
      <c r="E1538" s="154">
        <v>2</v>
      </c>
      <c r="G1538" s="154" t="s">
        <v>5800</v>
      </c>
      <c r="J1538" s="154" t="s">
        <v>27</v>
      </c>
      <c r="K1538" s="154" t="s">
        <v>201</v>
      </c>
      <c r="L1538" s="154">
        <v>0</v>
      </c>
      <c r="N1538" s="155">
        <v>0</v>
      </c>
      <c r="O1538" s="156"/>
      <c r="P1538" s="157"/>
      <c r="Q1538" s="158"/>
      <c r="R1538" s="159"/>
      <c r="S1538" s="160"/>
      <c r="T1538" s="161"/>
      <c r="U1538" s="156"/>
      <c r="V1538" s="162"/>
      <c r="W1538" s="163"/>
      <c r="X1538" s="164"/>
      <c r="Y1538" s="159"/>
      <c r="Z1538" s="161"/>
      <c r="AA1538" s="165"/>
      <c r="AD1538" s="154" t="s">
        <v>5801</v>
      </c>
      <c r="AE1538" s="155"/>
      <c r="AF1538" s="154" t="s">
        <v>5802</v>
      </c>
      <c r="AP1538" s="155"/>
      <c r="AQ1538" s="156"/>
      <c r="AR1538" s="157"/>
      <c r="AS1538" s="158"/>
      <c r="AT1538" s="159"/>
      <c r="AU1538" s="161"/>
      <c r="AV1538" s="156"/>
      <c r="AW1538" s="162"/>
      <c r="AX1538" s="163"/>
      <c r="AY1538" s="164"/>
      <c r="AZ1538" s="159"/>
      <c r="BA1538" s="161"/>
      <c r="BB1538" s="165"/>
      <c r="BF1538" s="155"/>
    </row>
    <row r="1539" spans="1:59" s="154" customFormat="1" ht="15" customHeight="1">
      <c r="A1539" s="153" t="s">
        <v>5693</v>
      </c>
      <c r="B1539" s="153" t="s">
        <v>5803</v>
      </c>
      <c r="C1539" s="154" t="s">
        <v>5695</v>
      </c>
      <c r="D1539" s="170">
        <v>30</v>
      </c>
      <c r="E1539" s="154">
        <v>2</v>
      </c>
      <c r="G1539" s="154" t="s">
        <v>5804</v>
      </c>
      <c r="J1539" s="154" t="s">
        <v>27</v>
      </c>
      <c r="K1539" s="154" t="s">
        <v>201</v>
      </c>
      <c r="L1539" s="154">
        <v>0</v>
      </c>
      <c r="N1539" s="155"/>
      <c r="O1539" s="156"/>
      <c r="P1539" s="157">
        <v>1</v>
      </c>
      <c r="Q1539" s="158"/>
      <c r="R1539" s="159">
        <v>1</v>
      </c>
      <c r="S1539" s="160"/>
      <c r="T1539" s="161"/>
      <c r="U1539" s="156"/>
      <c r="V1539" s="162"/>
      <c r="W1539" s="163"/>
      <c r="X1539" s="164"/>
      <c r="Y1539" s="159"/>
      <c r="Z1539" s="161"/>
      <c r="AA1539" s="165"/>
      <c r="AB1539" s="154" t="s">
        <v>1089</v>
      </c>
      <c r="AD1539" s="154" t="s">
        <v>412</v>
      </c>
      <c r="AF1539" s="154" t="s">
        <v>5805</v>
      </c>
      <c r="AP1539" s="155"/>
      <c r="AQ1539" s="156"/>
      <c r="AR1539" s="157"/>
      <c r="AS1539" s="158"/>
      <c r="AT1539" s="159"/>
      <c r="AU1539" s="161"/>
      <c r="AV1539" s="156"/>
      <c r="AW1539" s="162"/>
      <c r="AX1539" s="163"/>
      <c r="AY1539" s="164"/>
      <c r="AZ1539" s="159"/>
      <c r="BA1539" s="161"/>
      <c r="BB1539" s="165"/>
      <c r="BF1539" s="155"/>
    </row>
    <row r="1540" spans="1:59" s="154" customFormat="1" ht="15" customHeight="1">
      <c r="A1540" s="153" t="s">
        <v>5693</v>
      </c>
      <c r="B1540" s="169" t="s">
        <v>5806</v>
      </c>
      <c r="C1540" s="154" t="s">
        <v>5695</v>
      </c>
      <c r="D1540" s="170">
        <v>31</v>
      </c>
      <c r="E1540" s="154">
        <v>2</v>
      </c>
      <c r="G1540" s="154" t="s">
        <v>5807</v>
      </c>
      <c r="H1540" s="154" t="s">
        <v>5808</v>
      </c>
      <c r="J1540" s="154" t="s">
        <v>257</v>
      </c>
      <c r="K1540" s="154" t="s">
        <v>201</v>
      </c>
      <c r="L1540" s="154">
        <v>1</v>
      </c>
      <c r="N1540" s="155">
        <v>3</v>
      </c>
      <c r="O1540" s="156"/>
      <c r="P1540" s="157"/>
      <c r="Q1540" s="158"/>
      <c r="R1540" s="159"/>
      <c r="S1540" s="160"/>
      <c r="T1540" s="161"/>
      <c r="U1540" s="156"/>
      <c r="V1540" s="162"/>
      <c r="W1540" s="163"/>
      <c r="X1540" s="164"/>
      <c r="Y1540" s="159"/>
      <c r="Z1540" s="161"/>
      <c r="AA1540" s="165"/>
      <c r="AC1540" s="154" t="s">
        <v>5780</v>
      </c>
      <c r="AD1540" s="154" t="s">
        <v>5781</v>
      </c>
      <c r="AE1540" s="155"/>
      <c r="AF1540" s="154" t="s">
        <v>5858</v>
      </c>
      <c r="AP1540" s="155"/>
      <c r="AQ1540" s="156"/>
      <c r="AR1540" s="157"/>
      <c r="AS1540" s="158"/>
      <c r="AT1540" s="159"/>
      <c r="AU1540" s="161"/>
      <c r="AV1540" s="156"/>
      <c r="AW1540" s="162"/>
      <c r="AX1540" s="163"/>
      <c r="AY1540" s="164"/>
      <c r="AZ1540" s="159"/>
      <c r="BA1540" s="161"/>
      <c r="BB1540" s="165"/>
      <c r="BF1540" s="155"/>
    </row>
    <row r="1541" spans="1:59" s="154" customFormat="1" ht="15" customHeight="1">
      <c r="A1541" s="153" t="s">
        <v>5693</v>
      </c>
      <c r="B1541" s="153" t="s">
        <v>5809</v>
      </c>
      <c r="C1541" s="154" t="s">
        <v>5695</v>
      </c>
      <c r="D1541" s="170">
        <v>32</v>
      </c>
      <c r="E1541" s="154">
        <v>2</v>
      </c>
      <c r="G1541" s="154" t="s">
        <v>5810</v>
      </c>
      <c r="J1541" s="154" t="s">
        <v>27</v>
      </c>
      <c r="K1541" s="154" t="s">
        <v>200</v>
      </c>
      <c r="L1541" s="154">
        <v>0</v>
      </c>
      <c r="N1541" s="155">
        <v>0</v>
      </c>
      <c r="O1541" s="156"/>
      <c r="P1541" s="157"/>
      <c r="Q1541" s="158"/>
      <c r="R1541" s="159"/>
      <c r="S1541" s="160">
        <v>1</v>
      </c>
      <c r="T1541" s="161"/>
      <c r="U1541" s="156"/>
      <c r="V1541" s="162"/>
      <c r="W1541" s="163"/>
      <c r="X1541" s="164"/>
      <c r="Y1541" s="159"/>
      <c r="Z1541" s="161"/>
      <c r="AA1541" s="165"/>
      <c r="AB1541" s="154" t="s">
        <v>208</v>
      </c>
      <c r="AD1541" s="154" t="s">
        <v>3665</v>
      </c>
      <c r="AE1541" s="155"/>
      <c r="AF1541" s="154" t="s">
        <v>5811</v>
      </c>
      <c r="AP1541" s="155"/>
      <c r="AQ1541" s="156"/>
      <c r="AR1541" s="157"/>
      <c r="AS1541" s="158"/>
      <c r="AT1541" s="159"/>
      <c r="AU1541" s="161"/>
      <c r="AV1541" s="156"/>
      <c r="AW1541" s="162"/>
      <c r="AX1541" s="163"/>
      <c r="AY1541" s="164"/>
      <c r="AZ1541" s="159"/>
      <c r="BA1541" s="161"/>
      <c r="BB1541" s="165"/>
      <c r="BF1541" s="155"/>
    </row>
    <row r="1542" spans="1:59" s="154" customFormat="1" ht="15" customHeight="1">
      <c r="A1542" s="153" t="s">
        <v>5693</v>
      </c>
      <c r="B1542" s="169" t="s">
        <v>5812</v>
      </c>
      <c r="C1542" s="154" t="s">
        <v>5695</v>
      </c>
      <c r="D1542" s="170">
        <v>33</v>
      </c>
      <c r="E1542" s="154">
        <v>2</v>
      </c>
      <c r="G1542" s="154" t="s">
        <v>5813</v>
      </c>
      <c r="J1542" s="154" t="s">
        <v>27</v>
      </c>
      <c r="K1542" s="154" t="s">
        <v>200</v>
      </c>
      <c r="L1542" s="154">
        <v>0</v>
      </c>
      <c r="N1542" s="155">
        <v>0</v>
      </c>
      <c r="O1542" s="156">
        <v>1</v>
      </c>
      <c r="P1542" s="157">
        <v>1</v>
      </c>
      <c r="Q1542" s="158"/>
      <c r="R1542" s="159"/>
      <c r="S1542" s="160"/>
      <c r="T1542" s="161"/>
      <c r="U1542" s="156"/>
      <c r="V1542" s="162"/>
      <c r="W1542" s="163"/>
      <c r="X1542" s="164"/>
      <c r="Y1542" s="159"/>
      <c r="Z1542" s="161"/>
      <c r="AA1542" s="165"/>
      <c r="AB1542" s="154" t="s">
        <v>1092</v>
      </c>
      <c r="AD1542" s="154" t="s">
        <v>674</v>
      </c>
      <c r="AE1542" s="155"/>
      <c r="AF1542" s="154" t="s">
        <v>5814</v>
      </c>
      <c r="AP1542" s="155"/>
      <c r="AQ1542" s="156"/>
      <c r="AR1542" s="157"/>
      <c r="AS1542" s="158"/>
      <c r="AT1542" s="159"/>
      <c r="AU1542" s="161"/>
      <c r="AV1542" s="156"/>
      <c r="AW1542" s="162"/>
      <c r="AX1542" s="163"/>
      <c r="AY1542" s="164"/>
      <c r="AZ1542" s="159"/>
      <c r="BA1542" s="161"/>
      <c r="BB1542" s="165"/>
      <c r="BF1542" s="155"/>
    </row>
    <row r="1543" spans="1:59" s="154" customFormat="1" ht="15" customHeight="1">
      <c r="A1543" s="153" t="s">
        <v>5693</v>
      </c>
      <c r="B1543" s="153" t="s">
        <v>5815</v>
      </c>
      <c r="C1543" s="154" t="s">
        <v>5695</v>
      </c>
      <c r="D1543" s="170">
        <v>34</v>
      </c>
      <c r="E1543" s="154">
        <v>2</v>
      </c>
      <c r="G1543" s="154" t="s">
        <v>5816</v>
      </c>
      <c r="J1543" s="154" t="s">
        <v>312</v>
      </c>
      <c r="K1543" s="154" t="s">
        <v>200</v>
      </c>
      <c r="L1543" s="154">
        <v>0</v>
      </c>
      <c r="N1543" s="155"/>
      <c r="O1543" s="156"/>
      <c r="P1543" s="157"/>
      <c r="Q1543" s="158"/>
      <c r="R1543" s="159"/>
      <c r="S1543" s="160">
        <v>1</v>
      </c>
      <c r="T1543" s="161"/>
      <c r="U1543" s="156"/>
      <c r="V1543" s="162"/>
      <c r="W1543" s="163"/>
      <c r="X1543" s="164"/>
      <c r="Y1543" s="159"/>
      <c r="Z1543" s="161"/>
      <c r="AA1543" s="165"/>
      <c r="AB1543" s="154" t="s">
        <v>208</v>
      </c>
      <c r="AD1543" s="154" t="s">
        <v>313</v>
      </c>
      <c r="AE1543" s="155"/>
      <c r="AF1543" s="154" t="s">
        <v>5817</v>
      </c>
      <c r="AP1543" s="155"/>
      <c r="AQ1543" s="156"/>
      <c r="AR1543" s="157"/>
      <c r="AS1543" s="158"/>
      <c r="AT1543" s="159"/>
      <c r="AU1543" s="161"/>
      <c r="AV1543" s="156"/>
      <c r="AW1543" s="162"/>
      <c r="AX1543" s="163"/>
      <c r="AY1543" s="164"/>
      <c r="AZ1543" s="159"/>
      <c r="BA1543" s="161"/>
      <c r="BB1543" s="165"/>
      <c r="BF1543" s="155"/>
    </row>
    <row r="1544" spans="1:59" s="154" customFormat="1" ht="15" customHeight="1">
      <c r="A1544" s="153" t="s">
        <v>5693</v>
      </c>
      <c r="B1544" s="153" t="s">
        <v>5818</v>
      </c>
      <c r="C1544" s="154" t="s">
        <v>5695</v>
      </c>
      <c r="D1544" s="170">
        <v>35</v>
      </c>
      <c r="E1544" s="154">
        <v>2</v>
      </c>
      <c r="G1544" s="154" t="s">
        <v>5819</v>
      </c>
      <c r="H1544" s="154" t="s">
        <v>5820</v>
      </c>
      <c r="J1544" s="154" t="s">
        <v>257</v>
      </c>
      <c r="K1544" s="154" t="s">
        <v>200</v>
      </c>
      <c r="L1544" s="154">
        <v>1</v>
      </c>
      <c r="N1544" s="155">
        <v>3</v>
      </c>
      <c r="O1544" s="156"/>
      <c r="P1544" s="157"/>
      <c r="Q1544" s="158"/>
      <c r="R1544" s="159"/>
      <c r="S1544" s="160"/>
      <c r="T1544" s="161"/>
      <c r="U1544" s="156"/>
      <c r="V1544" s="162"/>
      <c r="W1544" s="163"/>
      <c r="X1544" s="164"/>
      <c r="Y1544" s="159"/>
      <c r="Z1544" s="161"/>
      <c r="AA1544" s="165"/>
      <c r="AC1544" s="154" t="s">
        <v>5780</v>
      </c>
      <c r="AD1544" s="154" t="s">
        <v>5781</v>
      </c>
      <c r="AE1544" s="155"/>
      <c r="AF1544" s="154" t="s">
        <v>5821</v>
      </c>
      <c r="AP1544" s="155"/>
      <c r="AQ1544" s="156"/>
      <c r="AR1544" s="157"/>
      <c r="AS1544" s="158"/>
      <c r="AT1544" s="159"/>
      <c r="AU1544" s="161"/>
      <c r="AV1544" s="156"/>
      <c r="AW1544" s="162"/>
      <c r="AX1544" s="163"/>
      <c r="AY1544" s="164"/>
      <c r="AZ1544" s="159"/>
      <c r="BA1544" s="161"/>
      <c r="BB1544" s="165"/>
      <c r="BF1544" s="155"/>
    </row>
    <row r="1545" spans="1:59" s="154" customFormat="1" ht="15" customHeight="1">
      <c r="A1545" s="153" t="s">
        <v>5693</v>
      </c>
      <c r="B1545" s="153" t="s">
        <v>5822</v>
      </c>
      <c r="C1545" s="154" t="s">
        <v>5695</v>
      </c>
      <c r="D1545" s="170">
        <v>36</v>
      </c>
      <c r="E1545" s="154">
        <v>2</v>
      </c>
      <c r="G1545" s="154" t="s">
        <v>5823</v>
      </c>
      <c r="J1545" s="154" t="s">
        <v>257</v>
      </c>
      <c r="K1545" s="154" t="s">
        <v>202</v>
      </c>
      <c r="L1545" s="154">
        <v>0</v>
      </c>
      <c r="N1545" s="155">
        <v>3</v>
      </c>
      <c r="O1545" s="156"/>
      <c r="P1545" s="157"/>
      <c r="Q1545" s="158"/>
      <c r="R1545" s="159">
        <v>1</v>
      </c>
      <c r="S1545" s="160"/>
      <c r="T1545" s="161"/>
      <c r="U1545" s="156"/>
      <c r="V1545" s="162"/>
      <c r="W1545" s="163"/>
      <c r="X1545" s="164"/>
      <c r="Y1545" s="159"/>
      <c r="Z1545" s="161"/>
      <c r="AA1545" s="165"/>
      <c r="AB1545" s="154" t="s">
        <v>207</v>
      </c>
      <c r="AD1545" s="154" t="s">
        <v>5824</v>
      </c>
      <c r="AE1545" s="155"/>
      <c r="AF1545" s="154" t="s">
        <v>5825</v>
      </c>
      <c r="AP1545" s="155"/>
      <c r="AQ1545" s="156"/>
      <c r="AR1545" s="157"/>
      <c r="AS1545" s="158"/>
      <c r="AT1545" s="159"/>
      <c r="AU1545" s="161"/>
      <c r="AV1545" s="156"/>
      <c r="AW1545" s="162"/>
      <c r="AX1545" s="163"/>
      <c r="AY1545" s="164"/>
      <c r="AZ1545" s="159"/>
      <c r="BA1545" s="161"/>
      <c r="BB1545" s="165"/>
      <c r="BF1545" s="155"/>
    </row>
    <row r="1546" spans="1:59" s="154" customFormat="1" ht="15" customHeight="1">
      <c r="A1546" s="153" t="s">
        <v>5693</v>
      </c>
      <c r="B1546" s="153" t="s">
        <v>5826</v>
      </c>
      <c r="C1546" s="154" t="s">
        <v>5695</v>
      </c>
      <c r="D1546" s="170">
        <v>37</v>
      </c>
      <c r="E1546" s="154">
        <v>2</v>
      </c>
      <c r="G1546" s="154" t="s">
        <v>5827</v>
      </c>
      <c r="J1546" s="154" t="s">
        <v>27</v>
      </c>
      <c r="K1546" s="154" t="s">
        <v>202</v>
      </c>
      <c r="L1546" s="154">
        <v>0</v>
      </c>
      <c r="N1546" s="155">
        <v>0</v>
      </c>
      <c r="O1546" s="156"/>
      <c r="P1546" s="157"/>
      <c r="Q1546" s="158">
        <v>2</v>
      </c>
      <c r="R1546" s="159"/>
      <c r="S1546" s="160"/>
      <c r="T1546" s="161"/>
      <c r="U1546" s="156"/>
      <c r="V1546" s="162"/>
      <c r="W1546" s="163"/>
      <c r="X1546" s="164"/>
      <c r="Y1546" s="159"/>
      <c r="Z1546" s="161"/>
      <c r="AA1546" s="165"/>
      <c r="AB1546" s="154" t="s">
        <v>1088</v>
      </c>
      <c r="AD1546" s="154" t="s">
        <v>5828</v>
      </c>
      <c r="AE1546" s="155"/>
      <c r="AF1546" s="154" t="s">
        <v>5829</v>
      </c>
      <c r="AP1546" s="155"/>
      <c r="AQ1546" s="156"/>
      <c r="AR1546" s="157"/>
      <c r="AS1546" s="158"/>
      <c r="AT1546" s="159"/>
      <c r="AU1546" s="161"/>
      <c r="AV1546" s="156"/>
      <c r="AW1546" s="162"/>
      <c r="AX1546" s="163"/>
      <c r="AY1546" s="164"/>
      <c r="AZ1546" s="159"/>
      <c r="BA1546" s="161"/>
      <c r="BB1546" s="165"/>
      <c r="BF1546" s="155"/>
    </row>
    <row r="1547" spans="1:59" s="154" customFormat="1" ht="15" customHeight="1">
      <c r="A1547" s="153" t="s">
        <v>5693</v>
      </c>
      <c r="B1547" s="169" t="s">
        <v>5830</v>
      </c>
      <c r="C1547" s="154" t="s">
        <v>5695</v>
      </c>
      <c r="D1547" s="155">
        <v>38</v>
      </c>
      <c r="E1547" s="154">
        <v>2</v>
      </c>
      <c r="G1547" s="154" t="s">
        <v>5831</v>
      </c>
      <c r="J1547" s="154" t="s">
        <v>312</v>
      </c>
      <c r="K1547" s="154" t="s">
        <v>202</v>
      </c>
      <c r="L1547" s="154">
        <v>0</v>
      </c>
      <c r="N1547" s="155"/>
      <c r="O1547" s="156"/>
      <c r="P1547" s="157"/>
      <c r="Q1547" s="158">
        <v>1</v>
      </c>
      <c r="R1547" s="159">
        <v>1</v>
      </c>
      <c r="S1547" s="160"/>
      <c r="T1547" s="161"/>
      <c r="U1547" s="156"/>
      <c r="V1547" s="162"/>
      <c r="W1547" s="163"/>
      <c r="X1547" s="164"/>
      <c r="Y1547" s="159"/>
      <c r="Z1547" s="161"/>
      <c r="AA1547" s="165"/>
      <c r="AB1547" s="154" t="s">
        <v>1087</v>
      </c>
      <c r="AD1547" s="154" t="s">
        <v>412</v>
      </c>
      <c r="AE1547" s="155"/>
      <c r="AF1547" s="154" t="s">
        <v>5832</v>
      </c>
      <c r="AP1547" s="155"/>
      <c r="AQ1547" s="156"/>
      <c r="AR1547" s="157"/>
      <c r="AS1547" s="158"/>
      <c r="AT1547" s="159"/>
      <c r="AU1547" s="161"/>
      <c r="AV1547" s="156"/>
      <c r="AW1547" s="162"/>
      <c r="AX1547" s="163"/>
      <c r="AY1547" s="164"/>
      <c r="AZ1547" s="159"/>
      <c r="BA1547" s="161"/>
      <c r="BB1547" s="165"/>
      <c r="BF1547" s="155"/>
    </row>
    <row r="1548" spans="1:59" s="154" customFormat="1" ht="15" customHeight="1">
      <c r="A1548" s="153" t="s">
        <v>5693</v>
      </c>
      <c r="B1548" s="153" t="s">
        <v>5833</v>
      </c>
      <c r="C1548" s="154" t="s">
        <v>5695</v>
      </c>
      <c r="D1548" s="155">
        <v>39</v>
      </c>
      <c r="E1548" s="154">
        <v>2</v>
      </c>
      <c r="G1548" s="154" t="s">
        <v>5834</v>
      </c>
      <c r="H1548" s="154" t="s">
        <v>5835</v>
      </c>
      <c r="J1548" s="154" t="s">
        <v>257</v>
      </c>
      <c r="K1548" s="154" t="s">
        <v>202</v>
      </c>
      <c r="L1548" s="154">
        <v>1</v>
      </c>
      <c r="N1548" s="155">
        <v>3</v>
      </c>
      <c r="O1548" s="156"/>
      <c r="P1548" s="157"/>
      <c r="Q1548" s="158"/>
      <c r="R1548" s="159"/>
      <c r="S1548" s="160"/>
      <c r="T1548" s="161"/>
      <c r="U1548" s="156"/>
      <c r="V1548" s="162"/>
      <c r="W1548" s="163"/>
      <c r="X1548" s="164"/>
      <c r="Y1548" s="159"/>
      <c r="Z1548" s="161"/>
      <c r="AA1548" s="165"/>
      <c r="AC1548" s="154" t="s">
        <v>5780</v>
      </c>
      <c r="AD1548" s="154" t="s">
        <v>5781</v>
      </c>
      <c r="AE1548" s="155"/>
      <c r="AF1548" s="154" t="s">
        <v>5836</v>
      </c>
      <c r="AP1548" s="155"/>
      <c r="AQ1548" s="156"/>
      <c r="AR1548" s="157"/>
      <c r="AS1548" s="158"/>
      <c r="AT1548" s="159"/>
      <c r="AU1548" s="161"/>
      <c r="AV1548" s="156"/>
      <c r="AW1548" s="162"/>
      <c r="AX1548" s="163"/>
      <c r="AY1548" s="164"/>
      <c r="AZ1548" s="159"/>
      <c r="BA1548" s="161"/>
      <c r="BB1548" s="165"/>
      <c r="BF1548" s="155"/>
    </row>
    <row r="1549" spans="1:59" s="154" customFormat="1" ht="15" customHeight="1">
      <c r="A1549" s="153" t="s">
        <v>5693</v>
      </c>
      <c r="B1549" s="183" t="s">
        <v>5837</v>
      </c>
      <c r="C1549" s="154" t="s">
        <v>5695</v>
      </c>
      <c r="D1549" s="155">
        <v>40</v>
      </c>
      <c r="E1549" s="154">
        <v>2</v>
      </c>
      <c r="G1549" s="154" t="s">
        <v>5838</v>
      </c>
      <c r="H1549" s="154" t="s">
        <v>5839</v>
      </c>
      <c r="J1549" s="154" t="s">
        <v>257</v>
      </c>
      <c r="K1549" s="154" t="s">
        <v>26</v>
      </c>
      <c r="L1549" s="154">
        <v>1</v>
      </c>
      <c r="N1549" s="155">
        <v>3</v>
      </c>
      <c r="O1549" s="156"/>
      <c r="P1549" s="157"/>
      <c r="Q1549" s="158"/>
      <c r="R1549" s="159"/>
      <c r="S1549" s="160"/>
      <c r="T1549" s="161"/>
      <c r="U1549" s="156"/>
      <c r="V1549" s="162"/>
      <c r="W1549" s="163"/>
      <c r="X1549" s="164"/>
      <c r="Y1549" s="159"/>
      <c r="Z1549" s="161"/>
      <c r="AA1549" s="165"/>
      <c r="AC1549" s="154" t="s">
        <v>5780</v>
      </c>
      <c r="AD1549" s="154" t="s">
        <v>5781</v>
      </c>
      <c r="AE1549" s="155"/>
      <c r="AF1549" s="154" t="s">
        <v>5859</v>
      </c>
      <c r="AP1549" s="155"/>
      <c r="AQ1549" s="156"/>
      <c r="AR1549" s="157"/>
      <c r="AS1549" s="158"/>
      <c r="AT1549" s="159"/>
      <c r="AU1549" s="161"/>
      <c r="AV1549" s="156"/>
      <c r="AW1549" s="162"/>
      <c r="AX1549" s="163"/>
      <c r="AY1549" s="164"/>
      <c r="AZ1549" s="159"/>
      <c r="BA1549" s="161"/>
      <c r="BB1549" s="165"/>
      <c r="BF1549" s="155"/>
    </row>
    <row r="1550" spans="1:59" s="154" customFormat="1" ht="15" customHeight="1">
      <c r="A1550" s="153" t="s">
        <v>5693</v>
      </c>
      <c r="B1550" s="154" t="s">
        <v>5840</v>
      </c>
      <c r="C1550" s="154" t="s">
        <v>5695</v>
      </c>
      <c r="D1550" s="155">
        <v>41</v>
      </c>
      <c r="E1550" s="154">
        <v>2</v>
      </c>
      <c r="G1550" s="154" t="s">
        <v>5841</v>
      </c>
      <c r="J1550" s="154" t="s">
        <v>28</v>
      </c>
      <c r="K1550" s="154" t="s">
        <v>2426</v>
      </c>
      <c r="M1550" s="154" t="s">
        <v>691</v>
      </c>
      <c r="N1550" s="155"/>
      <c r="O1550" s="156"/>
      <c r="P1550" s="157"/>
      <c r="Q1550" s="158"/>
      <c r="R1550" s="159"/>
      <c r="S1550" s="160"/>
      <c r="T1550" s="161"/>
      <c r="U1550" s="156"/>
      <c r="V1550" s="162"/>
      <c r="W1550" s="163"/>
      <c r="X1550" s="164"/>
      <c r="Y1550" s="159"/>
      <c r="Z1550" s="161"/>
      <c r="AA1550" s="165"/>
      <c r="AD1550" s="154" t="s">
        <v>492</v>
      </c>
      <c r="AE1550" s="155"/>
      <c r="AF1550" s="154" t="s">
        <v>5842</v>
      </c>
      <c r="AP1550" s="155"/>
      <c r="AQ1550" s="156"/>
      <c r="AR1550" s="157"/>
      <c r="AS1550" s="158"/>
      <c r="AT1550" s="159"/>
      <c r="AU1550" s="161"/>
      <c r="AV1550" s="156"/>
      <c r="AW1550" s="162"/>
      <c r="AX1550" s="163"/>
      <c r="AY1550" s="164"/>
      <c r="AZ1550" s="159"/>
      <c r="BA1550" s="161"/>
      <c r="BB1550" s="165"/>
      <c r="BF1550" s="155"/>
    </row>
    <row r="1551" spans="1:59" s="154" customFormat="1" ht="15" customHeight="1">
      <c r="A1551" s="153" t="s">
        <v>5693</v>
      </c>
      <c r="B1551" s="154" t="s">
        <v>5843</v>
      </c>
      <c r="C1551" s="154" t="s">
        <v>5695</v>
      </c>
      <c r="D1551" s="155">
        <v>42</v>
      </c>
      <c r="E1551" s="154">
        <v>2</v>
      </c>
      <c r="G1551" s="154" t="s">
        <v>5844</v>
      </c>
      <c r="H1551" s="154" t="s">
        <v>5845</v>
      </c>
      <c r="J1551" s="154" t="s">
        <v>257</v>
      </c>
      <c r="K1551" s="154" t="s">
        <v>26</v>
      </c>
      <c r="M1551" s="154" t="s">
        <v>691</v>
      </c>
      <c r="N1551" s="155">
        <v>4</v>
      </c>
      <c r="O1551" s="156"/>
      <c r="P1551" s="157"/>
      <c r="Q1551" s="158"/>
      <c r="R1551" s="159"/>
      <c r="S1551" s="160"/>
      <c r="T1551" s="161"/>
      <c r="U1551" s="156"/>
      <c r="V1551" s="162"/>
      <c r="W1551" s="163"/>
      <c r="X1551" s="164"/>
      <c r="Y1551" s="159"/>
      <c r="Z1551" s="161"/>
      <c r="AA1551" s="165"/>
      <c r="AC1551" s="154" t="s">
        <v>5780</v>
      </c>
      <c r="AD1551" s="154" t="s">
        <v>5846</v>
      </c>
      <c r="AE1551" s="155"/>
      <c r="AF1551" s="154" t="s">
        <v>5860</v>
      </c>
      <c r="AJ1551" s="171"/>
      <c r="AP1551" s="155"/>
      <c r="AQ1551" s="156"/>
      <c r="AR1551" s="157"/>
      <c r="AS1551" s="158"/>
      <c r="AT1551" s="159"/>
      <c r="AU1551" s="161"/>
      <c r="AV1551" s="156"/>
      <c r="AW1551" s="162"/>
      <c r="AX1551" s="163"/>
      <c r="AY1551" s="164"/>
      <c r="AZ1551" s="159"/>
      <c r="BA1551" s="161"/>
      <c r="BB1551" s="165"/>
      <c r="BF1551" s="155"/>
    </row>
    <row r="1552" spans="1:59" ht="15" customHeight="1">
      <c r="A1552" s="153" t="s">
        <v>5693</v>
      </c>
      <c r="B1552" s="23" t="s">
        <v>5861</v>
      </c>
      <c r="C1552" s="154" t="s">
        <v>5695</v>
      </c>
      <c r="D1552" s="24">
        <v>43</v>
      </c>
      <c r="E1552" s="23">
        <v>1</v>
      </c>
      <c r="F1552" s="171" t="s">
        <v>5862</v>
      </c>
      <c r="G1552" s="171" t="s">
        <v>5862</v>
      </c>
      <c r="J1552" s="23" t="s">
        <v>618</v>
      </c>
      <c r="K1552" s="28" t="s">
        <v>2426</v>
      </c>
      <c r="N1552" s="147"/>
      <c r="O1552" s="118"/>
      <c r="P1552" s="119"/>
      <c r="Q1552" s="120"/>
      <c r="R1552" s="29"/>
      <c r="S1552" s="135"/>
      <c r="T1552" s="122"/>
      <c r="U1552" s="118"/>
      <c r="V1552" s="123"/>
      <c r="W1552" s="124"/>
      <c r="X1552" s="125"/>
      <c r="Y1552" s="29"/>
      <c r="Z1552" s="122"/>
      <c r="AA1552" s="126"/>
      <c r="AB1552" s="148"/>
      <c r="AF1552" s="23" t="s">
        <v>5863</v>
      </c>
      <c r="AI1552" s="171" t="s">
        <v>5862</v>
      </c>
      <c r="AL1552" s="23" t="s">
        <v>618</v>
      </c>
      <c r="AM1552" s="28" t="s">
        <v>2426</v>
      </c>
      <c r="AP1552" s="24"/>
      <c r="AQ1552" s="118"/>
      <c r="AR1552" s="119"/>
      <c r="AS1552" s="120"/>
      <c r="AT1552" s="29"/>
      <c r="AU1552" s="122"/>
      <c r="AV1552" s="118"/>
      <c r="AW1552" s="123"/>
      <c r="AX1552" s="124"/>
      <c r="AY1552" s="125"/>
      <c r="AZ1552" s="29"/>
      <c r="BA1552" s="122"/>
      <c r="BB1552" s="126"/>
      <c r="BG1552" s="23" t="s">
        <v>5864</v>
      </c>
    </row>
    <row r="1553" spans="1:59" ht="15" customHeight="1">
      <c r="A1553" s="153" t="s">
        <v>5693</v>
      </c>
      <c r="B1553" s="23" t="s">
        <v>5865</v>
      </c>
      <c r="C1553" s="154" t="s">
        <v>5695</v>
      </c>
      <c r="D1553" s="24">
        <v>44</v>
      </c>
      <c r="E1553" s="23">
        <v>1</v>
      </c>
      <c r="F1553" s="171" t="s">
        <v>5862</v>
      </c>
      <c r="G1553" s="154" t="s">
        <v>5866</v>
      </c>
      <c r="J1553" s="23" t="s">
        <v>619</v>
      </c>
      <c r="K1553" s="23" t="s">
        <v>2426</v>
      </c>
      <c r="L1553" s="23">
        <v>1</v>
      </c>
      <c r="N1553" s="147"/>
      <c r="O1553" s="118"/>
      <c r="P1553" s="119"/>
      <c r="Q1553" s="120"/>
      <c r="R1553" s="29"/>
      <c r="S1553" s="135"/>
      <c r="T1553" s="122"/>
      <c r="U1553" s="118"/>
      <c r="V1553" s="123"/>
      <c r="W1553" s="124"/>
      <c r="X1553" s="125"/>
      <c r="Y1553" s="29"/>
      <c r="Z1553" s="122" t="s">
        <v>38</v>
      </c>
      <c r="AA1553" s="126"/>
      <c r="AB1553" s="148"/>
      <c r="AF1553" s="23" t="s">
        <v>5867</v>
      </c>
      <c r="AI1553" s="154" t="s">
        <v>5868</v>
      </c>
      <c r="AL1553" s="23" t="s">
        <v>619</v>
      </c>
      <c r="AM1553" s="23" t="s">
        <v>2426</v>
      </c>
      <c r="AN1553" s="23">
        <v>1</v>
      </c>
      <c r="AP1553" s="24"/>
      <c r="AQ1553" s="118"/>
      <c r="AR1553" s="119"/>
      <c r="AS1553" s="120"/>
      <c r="AT1553" s="29"/>
      <c r="AU1553" s="122"/>
      <c r="AV1553" s="118"/>
      <c r="AW1553" s="123"/>
      <c r="AX1553" s="124"/>
      <c r="AY1553" s="125"/>
      <c r="AZ1553" s="29"/>
      <c r="BA1553" s="122"/>
      <c r="BB1553" s="126"/>
      <c r="BG1553" s="23" t="s">
        <v>5869</v>
      </c>
    </row>
    <row r="1554" spans="1:59" ht="15" customHeight="1">
      <c r="A1554" s="153" t="s">
        <v>5693</v>
      </c>
      <c r="B1554" s="23" t="s">
        <v>5870</v>
      </c>
      <c r="C1554" s="154" t="s">
        <v>5695</v>
      </c>
      <c r="D1554" s="24">
        <v>45</v>
      </c>
      <c r="E1554" s="23">
        <v>1</v>
      </c>
      <c r="F1554" s="171" t="s">
        <v>5862</v>
      </c>
      <c r="G1554" s="154" t="s">
        <v>5871</v>
      </c>
      <c r="J1554" s="23" t="s">
        <v>621</v>
      </c>
      <c r="K1554" s="23" t="s">
        <v>2426</v>
      </c>
      <c r="L1554" s="23">
        <v>1</v>
      </c>
      <c r="N1554" s="147"/>
      <c r="O1554" s="118"/>
      <c r="P1554" s="119"/>
      <c r="Q1554" s="120"/>
      <c r="R1554" s="29"/>
      <c r="S1554" s="135"/>
      <c r="T1554" s="122"/>
      <c r="U1554" s="118"/>
      <c r="V1554" s="123"/>
      <c r="W1554" s="124"/>
      <c r="X1554" s="125"/>
      <c r="Y1554" s="29" t="s">
        <v>38</v>
      </c>
      <c r="Z1554" s="122"/>
      <c r="AA1554" s="126"/>
      <c r="AB1554" s="148"/>
      <c r="AF1554" s="23" t="s">
        <v>5872</v>
      </c>
      <c r="AI1554" s="154" t="s">
        <v>2699</v>
      </c>
      <c r="AL1554" s="23" t="s">
        <v>621</v>
      </c>
      <c r="AM1554" s="23" t="s">
        <v>2426</v>
      </c>
      <c r="AN1554" s="23">
        <v>1</v>
      </c>
      <c r="AP1554" s="24"/>
      <c r="AQ1554" s="118"/>
      <c r="AR1554" s="119"/>
      <c r="AS1554" s="120"/>
      <c r="AT1554" s="29"/>
      <c r="AU1554" s="122"/>
      <c r="AV1554" s="118"/>
      <c r="AW1554" s="123"/>
      <c r="AX1554" s="124"/>
      <c r="AY1554" s="125"/>
      <c r="AZ1554" s="29"/>
      <c r="BA1554" s="122"/>
      <c r="BB1554" s="126"/>
      <c r="BG1554" s="23" t="s">
        <v>5873</v>
      </c>
    </row>
    <row r="1555" spans="1:59" ht="15" customHeight="1">
      <c r="A1555" s="153" t="s">
        <v>5693</v>
      </c>
      <c r="B1555" s="23" t="s">
        <v>5874</v>
      </c>
      <c r="C1555" s="154" t="s">
        <v>5695</v>
      </c>
      <c r="D1555" s="24">
        <v>46</v>
      </c>
      <c r="E1555" s="23">
        <v>1</v>
      </c>
      <c r="F1555" s="171" t="s">
        <v>5862</v>
      </c>
      <c r="G1555" s="154" t="s">
        <v>5875</v>
      </c>
      <c r="H1555" s="23" t="s">
        <v>5876</v>
      </c>
      <c r="I1555" s="23" t="s">
        <v>223</v>
      </c>
      <c r="J1555" s="23" t="s">
        <v>203</v>
      </c>
      <c r="K1555" s="23" t="s">
        <v>26</v>
      </c>
      <c r="N1555" s="147"/>
      <c r="O1555" s="118">
        <v>3</v>
      </c>
      <c r="P1555" s="119">
        <v>2</v>
      </c>
      <c r="Q1555" s="120">
        <v>4</v>
      </c>
      <c r="R1555" s="29">
        <v>1</v>
      </c>
      <c r="S1555" s="135"/>
      <c r="T1555" s="122">
        <v>8</v>
      </c>
      <c r="U1555" s="118">
        <v>4</v>
      </c>
      <c r="V1555" s="123"/>
      <c r="W1555" s="124"/>
      <c r="X1555" s="125"/>
      <c r="Y1555" s="29"/>
      <c r="Z1555" s="122"/>
      <c r="AA1555" s="126"/>
      <c r="AB1555" s="148"/>
      <c r="AD1555" s="23" t="s">
        <v>5877</v>
      </c>
      <c r="AF1555" s="23" t="s">
        <v>5878</v>
      </c>
      <c r="AI1555" s="154" t="s">
        <v>5875</v>
      </c>
      <c r="AJ1555" s="23" t="s">
        <v>5876</v>
      </c>
      <c r="AK1555" s="23" t="s">
        <v>223</v>
      </c>
      <c r="AL1555" s="23" t="s">
        <v>203</v>
      </c>
      <c r="AM1555" s="23" t="s">
        <v>26</v>
      </c>
      <c r="AP1555" s="24"/>
      <c r="AQ1555" s="118"/>
      <c r="AR1555" s="119"/>
      <c r="AS1555" s="120"/>
      <c r="AT1555" s="29"/>
      <c r="AU1555" s="122"/>
      <c r="AV1555" s="118"/>
      <c r="AW1555" s="123"/>
      <c r="AX1555" s="124"/>
      <c r="AY1555" s="125"/>
      <c r="AZ1555" s="29"/>
      <c r="BA1555" s="122"/>
      <c r="BB1555" s="126"/>
      <c r="BE1555" s="23" t="s">
        <v>5877</v>
      </c>
      <c r="BG1555" s="23" t="s">
        <v>5879</v>
      </c>
    </row>
    <row r="1556" spans="1:59" ht="15" customHeight="1">
      <c r="A1556" s="153" t="s">
        <v>5693</v>
      </c>
      <c r="B1556" s="23" t="s">
        <v>5880</v>
      </c>
      <c r="C1556" s="154" t="s">
        <v>5695</v>
      </c>
      <c r="D1556" s="24">
        <v>47</v>
      </c>
      <c r="E1556" s="23">
        <v>1</v>
      </c>
      <c r="F1556" s="171" t="s">
        <v>5862</v>
      </c>
      <c r="G1556" s="154" t="s">
        <v>5881</v>
      </c>
      <c r="H1556" s="23" t="s">
        <v>5882</v>
      </c>
      <c r="I1556" s="23" t="s">
        <v>223</v>
      </c>
      <c r="J1556" s="23" t="s">
        <v>203</v>
      </c>
      <c r="K1556" s="23" t="s">
        <v>26</v>
      </c>
      <c r="N1556" s="147"/>
      <c r="O1556" s="118">
        <v>2</v>
      </c>
      <c r="P1556" s="119">
        <v>4</v>
      </c>
      <c r="Q1556" s="120">
        <v>1</v>
      </c>
      <c r="R1556" s="29">
        <v>3</v>
      </c>
      <c r="S1556" s="135"/>
      <c r="T1556" s="122">
        <v>4</v>
      </c>
      <c r="U1556" s="118">
        <v>8</v>
      </c>
      <c r="V1556" s="123"/>
      <c r="W1556" s="124"/>
      <c r="X1556" s="125"/>
      <c r="Y1556" s="29"/>
      <c r="Z1556" s="122"/>
      <c r="AA1556" s="126"/>
      <c r="AB1556" s="148"/>
      <c r="AD1556" s="23" t="s">
        <v>5883</v>
      </c>
      <c r="AF1556" s="23" t="s">
        <v>5884</v>
      </c>
      <c r="AI1556" s="154" t="s">
        <v>5881</v>
      </c>
      <c r="AJ1556" s="23" t="s">
        <v>5882</v>
      </c>
      <c r="AK1556" s="23" t="s">
        <v>223</v>
      </c>
      <c r="AL1556" s="23" t="s">
        <v>203</v>
      </c>
      <c r="AM1556" s="23" t="s">
        <v>26</v>
      </c>
      <c r="AP1556" s="24"/>
      <c r="AQ1556" s="118"/>
      <c r="AR1556" s="119"/>
      <c r="AS1556" s="120"/>
      <c r="AT1556" s="29"/>
      <c r="AU1556" s="122"/>
      <c r="AV1556" s="118"/>
      <c r="AW1556" s="123"/>
      <c r="AX1556" s="124"/>
      <c r="AY1556" s="125"/>
      <c r="AZ1556" s="29"/>
      <c r="BA1556" s="122"/>
      <c r="BB1556" s="126"/>
      <c r="BE1556" s="23" t="s">
        <v>5883</v>
      </c>
      <c r="BG1556" s="23" t="s">
        <v>5885</v>
      </c>
    </row>
    <row r="1557" spans="1:59" ht="15" customHeight="1">
      <c r="A1557" s="153" t="s">
        <v>5693</v>
      </c>
      <c r="B1557" s="23" t="s">
        <v>5886</v>
      </c>
      <c r="C1557" s="154" t="s">
        <v>5695</v>
      </c>
      <c r="D1557" s="24">
        <v>48</v>
      </c>
      <c r="E1557" s="23">
        <v>1</v>
      </c>
      <c r="F1557" s="171" t="s">
        <v>5862</v>
      </c>
      <c r="G1557" s="154" t="s">
        <v>5887</v>
      </c>
      <c r="H1557" s="23" t="s">
        <v>5888</v>
      </c>
      <c r="I1557" s="23" t="s">
        <v>223</v>
      </c>
      <c r="J1557" s="23" t="s">
        <v>203</v>
      </c>
      <c r="K1557" s="23" t="s">
        <v>26</v>
      </c>
      <c r="N1557" s="147"/>
      <c r="O1557" s="118">
        <v>1</v>
      </c>
      <c r="P1557" s="119">
        <v>3</v>
      </c>
      <c r="Q1557" s="120">
        <v>2</v>
      </c>
      <c r="R1557" s="29">
        <v>4</v>
      </c>
      <c r="S1557" s="135"/>
      <c r="T1557" s="122">
        <v>5</v>
      </c>
      <c r="U1557" s="118">
        <v>7</v>
      </c>
      <c r="V1557" s="123"/>
      <c r="W1557" s="124"/>
      <c r="X1557" s="125"/>
      <c r="Y1557" s="29"/>
      <c r="Z1557" s="122"/>
      <c r="AA1557" s="126"/>
      <c r="AB1557" s="148"/>
      <c r="AD1557" s="23" t="s">
        <v>5710</v>
      </c>
      <c r="AF1557" s="23" t="s">
        <v>5889</v>
      </c>
      <c r="AI1557" s="154" t="s">
        <v>5887</v>
      </c>
      <c r="AJ1557" s="23" t="s">
        <v>5888</v>
      </c>
      <c r="AK1557" s="23" t="s">
        <v>223</v>
      </c>
      <c r="AL1557" s="23" t="s">
        <v>203</v>
      </c>
      <c r="AM1557" s="23" t="s">
        <v>26</v>
      </c>
      <c r="AP1557" s="24"/>
      <c r="AQ1557" s="118"/>
      <c r="AR1557" s="119"/>
      <c r="AS1557" s="120"/>
      <c r="AT1557" s="29"/>
      <c r="AU1557" s="122"/>
      <c r="AV1557" s="118"/>
      <c r="AW1557" s="123"/>
      <c r="AX1557" s="124"/>
      <c r="AY1557" s="125"/>
      <c r="AZ1557" s="29"/>
      <c r="BA1557" s="122"/>
      <c r="BB1557" s="126"/>
      <c r="BE1557" s="23" t="s">
        <v>5710</v>
      </c>
      <c r="BG1557" s="23" t="s">
        <v>5890</v>
      </c>
    </row>
    <row r="1558" spans="1:59" s="154" customFormat="1" ht="15" customHeight="1">
      <c r="A1558" s="153" t="s">
        <v>5693</v>
      </c>
      <c r="B1558" s="23" t="s">
        <v>5891</v>
      </c>
      <c r="C1558" s="154" t="s">
        <v>5695</v>
      </c>
      <c r="D1558" s="155">
        <v>49</v>
      </c>
      <c r="E1558" s="154">
        <v>1</v>
      </c>
      <c r="F1558" s="171" t="s">
        <v>5862</v>
      </c>
      <c r="G1558" s="154" t="s">
        <v>5892</v>
      </c>
      <c r="H1558" s="154" t="s">
        <v>5893</v>
      </c>
      <c r="I1558" s="154" t="s">
        <v>223</v>
      </c>
      <c r="J1558" s="154" t="s">
        <v>203</v>
      </c>
      <c r="K1558" s="154" t="s">
        <v>26</v>
      </c>
      <c r="N1558" s="155"/>
      <c r="O1558" s="156">
        <v>4</v>
      </c>
      <c r="P1558" s="157">
        <v>1</v>
      </c>
      <c r="Q1558" s="158">
        <v>3</v>
      </c>
      <c r="R1558" s="159">
        <v>2</v>
      </c>
      <c r="S1558" s="160"/>
      <c r="T1558" s="161">
        <v>7</v>
      </c>
      <c r="U1558" s="156">
        <v>5</v>
      </c>
      <c r="V1558" s="162"/>
      <c r="W1558" s="163"/>
      <c r="X1558" s="164"/>
      <c r="Y1558" s="159"/>
      <c r="Z1558" s="161"/>
      <c r="AA1558" s="165"/>
      <c r="AD1558" s="154" t="s">
        <v>2519</v>
      </c>
      <c r="AE1558" s="155"/>
      <c r="AF1558" s="154" t="s">
        <v>5894</v>
      </c>
      <c r="AI1558" s="154" t="s">
        <v>5892</v>
      </c>
      <c r="AJ1558" s="154" t="s">
        <v>5893</v>
      </c>
      <c r="AK1558" s="154" t="s">
        <v>223</v>
      </c>
      <c r="AL1558" s="154" t="s">
        <v>203</v>
      </c>
      <c r="AM1558" s="154" t="s">
        <v>26</v>
      </c>
      <c r="AP1558" s="155"/>
      <c r="AQ1558" s="156"/>
      <c r="AR1558" s="157"/>
      <c r="AS1558" s="158"/>
      <c r="AT1558" s="159"/>
      <c r="AU1558" s="161"/>
      <c r="AV1558" s="156"/>
      <c r="AW1558" s="162"/>
      <c r="AX1558" s="163"/>
      <c r="AY1558" s="164"/>
      <c r="AZ1558" s="159"/>
      <c r="BA1558" s="161"/>
      <c r="BB1558" s="165"/>
      <c r="BE1558" s="154" t="s">
        <v>2519</v>
      </c>
      <c r="BF1558" s="155"/>
      <c r="BG1558" s="154" t="s">
        <v>5895</v>
      </c>
    </row>
    <row r="1559" spans="1:59" s="154" customFormat="1" ht="15" customHeight="1">
      <c r="A1559" s="153" t="s">
        <v>5693</v>
      </c>
      <c r="B1559" s="23" t="s">
        <v>5896</v>
      </c>
      <c r="C1559" s="154" t="s">
        <v>5695</v>
      </c>
      <c r="D1559" s="155">
        <v>50</v>
      </c>
      <c r="E1559" s="154">
        <v>1</v>
      </c>
      <c r="F1559" s="154" t="s">
        <v>5897</v>
      </c>
      <c r="G1559" s="154" t="s">
        <v>5897</v>
      </c>
      <c r="J1559" s="154" t="s">
        <v>618</v>
      </c>
      <c r="K1559" s="154" t="s">
        <v>2426</v>
      </c>
      <c r="N1559" s="155"/>
      <c r="O1559" s="156"/>
      <c r="P1559" s="157"/>
      <c r="Q1559" s="158"/>
      <c r="R1559" s="159"/>
      <c r="S1559" s="160"/>
      <c r="T1559" s="161"/>
      <c r="U1559" s="156"/>
      <c r="V1559" s="162"/>
      <c r="W1559" s="163"/>
      <c r="X1559" s="164"/>
      <c r="Y1559" s="159"/>
      <c r="Z1559" s="161"/>
      <c r="AA1559" s="165"/>
      <c r="AE1559" s="155"/>
      <c r="AF1559" s="154" t="s">
        <v>5898</v>
      </c>
      <c r="AI1559" s="154" t="s">
        <v>5897</v>
      </c>
      <c r="AL1559" s="154" t="s">
        <v>618</v>
      </c>
      <c r="AM1559" s="154" t="s">
        <v>2426</v>
      </c>
      <c r="AP1559" s="155"/>
      <c r="AQ1559" s="156"/>
      <c r="AR1559" s="157"/>
      <c r="AS1559" s="158"/>
      <c r="AT1559" s="159"/>
      <c r="AU1559" s="161"/>
      <c r="AV1559" s="156"/>
      <c r="AW1559" s="162"/>
      <c r="AX1559" s="163"/>
      <c r="AY1559" s="164"/>
      <c r="AZ1559" s="159"/>
      <c r="BA1559" s="161"/>
      <c r="BB1559" s="165"/>
      <c r="BF1559" s="155"/>
      <c r="BG1559" s="154" t="s">
        <v>5899</v>
      </c>
    </row>
    <row r="1560" spans="1:59" s="154" customFormat="1" ht="15" customHeight="1">
      <c r="A1560" s="153" t="s">
        <v>5693</v>
      </c>
      <c r="B1560" s="23" t="s">
        <v>5900</v>
      </c>
      <c r="C1560" s="154" t="s">
        <v>5695</v>
      </c>
      <c r="D1560" s="155">
        <v>51</v>
      </c>
      <c r="E1560" s="154">
        <v>1</v>
      </c>
      <c r="F1560" s="154" t="s">
        <v>5897</v>
      </c>
      <c r="G1560" s="154" t="s">
        <v>5901</v>
      </c>
      <c r="J1560" s="154" t="s">
        <v>619</v>
      </c>
      <c r="K1560" s="154" t="s">
        <v>2426</v>
      </c>
      <c r="L1560" s="154">
        <v>1</v>
      </c>
      <c r="N1560" s="155"/>
      <c r="O1560" s="156"/>
      <c r="P1560" s="157"/>
      <c r="Q1560" s="158"/>
      <c r="R1560" s="159"/>
      <c r="S1560" s="160"/>
      <c r="T1560" s="161"/>
      <c r="U1560" s="156"/>
      <c r="V1560" s="162"/>
      <c r="W1560" s="163"/>
      <c r="X1560" s="164"/>
      <c r="Y1560" s="159"/>
      <c r="Z1560" s="161">
        <v>8</v>
      </c>
      <c r="AA1560" s="165"/>
      <c r="AE1560" s="155"/>
      <c r="AI1560" s="154" t="s">
        <v>5902</v>
      </c>
      <c r="AL1560" s="154" t="s">
        <v>619</v>
      </c>
      <c r="AM1560" s="154" t="s">
        <v>2426</v>
      </c>
      <c r="AN1560" s="154">
        <v>1</v>
      </c>
      <c r="AP1560" s="155"/>
      <c r="AQ1560" s="156"/>
      <c r="AR1560" s="157"/>
      <c r="AS1560" s="158"/>
      <c r="AT1560" s="159"/>
      <c r="AU1560" s="161"/>
      <c r="AV1560" s="156"/>
      <c r="AW1560" s="162"/>
      <c r="AX1560" s="163"/>
      <c r="AY1560" s="164"/>
      <c r="AZ1560" s="159"/>
      <c r="BA1560" s="161"/>
      <c r="BB1560" s="165"/>
      <c r="BF1560" s="155"/>
      <c r="BG1560" s="154" t="s">
        <v>5903</v>
      </c>
    </row>
    <row r="1561" spans="1:59" s="154" customFormat="1" ht="15" customHeight="1">
      <c r="A1561" s="153" t="s">
        <v>5693</v>
      </c>
      <c r="B1561" s="23" t="s">
        <v>5904</v>
      </c>
      <c r="C1561" s="154" t="s">
        <v>5695</v>
      </c>
      <c r="D1561" s="155">
        <v>52</v>
      </c>
      <c r="E1561" s="154">
        <v>1</v>
      </c>
      <c r="F1561" s="154" t="s">
        <v>5897</v>
      </c>
      <c r="G1561" s="154" t="s">
        <v>5905</v>
      </c>
      <c r="J1561" s="154" t="s">
        <v>619</v>
      </c>
      <c r="K1561" s="154" t="s">
        <v>2426</v>
      </c>
      <c r="L1561" s="154">
        <v>2</v>
      </c>
      <c r="N1561" s="155"/>
      <c r="O1561" s="156"/>
      <c r="P1561" s="157"/>
      <c r="Q1561" s="158"/>
      <c r="R1561" s="159"/>
      <c r="S1561" s="160"/>
      <c r="T1561" s="161"/>
      <c r="U1561" s="156"/>
      <c r="V1561" s="162"/>
      <c r="W1561" s="163"/>
      <c r="X1561" s="164"/>
      <c r="Y1561" s="159"/>
      <c r="Z1561" s="161">
        <v>12</v>
      </c>
      <c r="AA1561" s="165"/>
      <c r="AE1561" s="155"/>
      <c r="AF1561" s="154" t="s">
        <v>5906</v>
      </c>
      <c r="AI1561" s="154" t="s">
        <v>5907</v>
      </c>
      <c r="AL1561" s="154" t="s">
        <v>619</v>
      </c>
      <c r="AM1561" s="154" t="s">
        <v>2426</v>
      </c>
      <c r="AN1561" s="154">
        <v>2</v>
      </c>
      <c r="AP1561" s="155"/>
      <c r="AQ1561" s="156"/>
      <c r="AR1561" s="157"/>
      <c r="AS1561" s="158"/>
      <c r="AT1561" s="159"/>
      <c r="AU1561" s="161"/>
      <c r="AV1561" s="156"/>
      <c r="AW1561" s="162"/>
      <c r="AX1561" s="163"/>
      <c r="AY1561" s="164"/>
      <c r="AZ1561" s="159"/>
      <c r="BA1561" s="161"/>
      <c r="BB1561" s="165"/>
      <c r="BF1561" s="155"/>
      <c r="BG1561" s="154" t="s">
        <v>5908</v>
      </c>
    </row>
    <row r="1562" spans="1:59" s="154" customFormat="1" ht="15" customHeight="1">
      <c r="A1562" s="153" t="s">
        <v>5693</v>
      </c>
      <c r="B1562" s="23" t="s">
        <v>5909</v>
      </c>
      <c r="C1562" s="154" t="s">
        <v>5695</v>
      </c>
      <c r="D1562" s="155">
        <v>53</v>
      </c>
      <c r="E1562" s="154">
        <v>1</v>
      </c>
      <c r="F1562" s="154" t="s">
        <v>5897</v>
      </c>
      <c r="G1562" s="154" t="s">
        <v>5910</v>
      </c>
      <c r="J1562" s="154" t="s">
        <v>621</v>
      </c>
      <c r="K1562" s="154" t="s">
        <v>2426</v>
      </c>
      <c r="L1562" s="154">
        <v>1</v>
      </c>
      <c r="N1562" s="155"/>
      <c r="O1562" s="156"/>
      <c r="P1562" s="157"/>
      <c r="Q1562" s="158"/>
      <c r="R1562" s="159"/>
      <c r="S1562" s="160"/>
      <c r="T1562" s="161"/>
      <c r="U1562" s="156"/>
      <c r="V1562" s="162"/>
      <c r="W1562" s="163"/>
      <c r="X1562" s="164"/>
      <c r="Y1562" s="159" t="s">
        <v>1111</v>
      </c>
      <c r="Z1562" s="161"/>
      <c r="AA1562" s="165"/>
      <c r="AE1562" s="155"/>
      <c r="AF1562" s="154" t="s">
        <v>5911</v>
      </c>
      <c r="AI1562" s="154" t="s">
        <v>5912</v>
      </c>
      <c r="AL1562" s="154" t="s">
        <v>621</v>
      </c>
      <c r="AM1562" s="154" t="s">
        <v>2426</v>
      </c>
      <c r="AN1562" s="154">
        <v>1</v>
      </c>
      <c r="AP1562" s="155"/>
      <c r="AQ1562" s="156"/>
      <c r="AR1562" s="157"/>
      <c r="AS1562" s="158"/>
      <c r="AT1562" s="159"/>
      <c r="AU1562" s="161"/>
      <c r="AV1562" s="156"/>
      <c r="AW1562" s="162"/>
      <c r="AX1562" s="163"/>
      <c r="AY1562" s="164"/>
      <c r="AZ1562" s="159"/>
      <c r="BA1562" s="161"/>
      <c r="BB1562" s="165"/>
      <c r="BF1562" s="155"/>
      <c r="BG1562" s="154" t="s">
        <v>5913</v>
      </c>
    </row>
    <row r="1563" spans="1:59" s="154" customFormat="1" ht="15" customHeight="1">
      <c r="A1563" s="153" t="s">
        <v>5693</v>
      </c>
      <c r="B1563" s="23" t="s">
        <v>5914</v>
      </c>
      <c r="C1563" s="154" t="s">
        <v>5695</v>
      </c>
      <c r="D1563" s="155">
        <v>54</v>
      </c>
      <c r="E1563" s="154">
        <v>1</v>
      </c>
      <c r="F1563" s="154" t="s">
        <v>5897</v>
      </c>
      <c r="G1563" s="154" t="s">
        <v>5915</v>
      </c>
      <c r="J1563" s="154" t="s">
        <v>621</v>
      </c>
      <c r="K1563" s="154" t="s">
        <v>2426</v>
      </c>
      <c r="L1563" s="154">
        <v>2</v>
      </c>
      <c r="N1563" s="155"/>
      <c r="O1563" s="156"/>
      <c r="P1563" s="157"/>
      <c r="Q1563" s="158"/>
      <c r="R1563" s="159"/>
      <c r="S1563" s="160"/>
      <c r="T1563" s="161"/>
      <c r="U1563" s="156"/>
      <c r="V1563" s="162"/>
      <c r="W1563" s="163"/>
      <c r="X1563" s="164"/>
      <c r="Y1563" s="159" t="s">
        <v>1073</v>
      </c>
      <c r="Z1563" s="161"/>
      <c r="AA1563" s="165"/>
      <c r="AE1563" s="155"/>
      <c r="AF1563" s="154" t="s">
        <v>5916</v>
      </c>
      <c r="AI1563" s="154" t="s">
        <v>5917</v>
      </c>
      <c r="AL1563" s="154" t="s">
        <v>621</v>
      </c>
      <c r="AM1563" s="154" t="s">
        <v>2426</v>
      </c>
      <c r="AN1563" s="154">
        <v>2</v>
      </c>
      <c r="AP1563" s="155"/>
      <c r="AQ1563" s="156"/>
      <c r="AR1563" s="157"/>
      <c r="AS1563" s="158"/>
      <c r="AT1563" s="159"/>
      <c r="AU1563" s="161"/>
      <c r="AV1563" s="156"/>
      <c r="AW1563" s="162"/>
      <c r="AX1563" s="163"/>
      <c r="AY1563" s="164"/>
      <c r="AZ1563" s="159"/>
      <c r="BA1563" s="161"/>
      <c r="BB1563" s="165"/>
      <c r="BF1563" s="155"/>
      <c r="BG1563" s="154" t="s">
        <v>5918</v>
      </c>
    </row>
    <row r="1564" spans="1:59" s="154" customFormat="1" ht="15" customHeight="1">
      <c r="A1564" s="153" t="s">
        <v>5693</v>
      </c>
      <c r="B1564" s="23" t="s">
        <v>5919</v>
      </c>
      <c r="C1564" s="154" t="s">
        <v>5695</v>
      </c>
      <c r="D1564" s="155">
        <v>55</v>
      </c>
      <c r="E1564" s="154">
        <v>1</v>
      </c>
      <c r="F1564" s="154" t="s">
        <v>5897</v>
      </c>
      <c r="G1564" s="154" t="s">
        <v>5920</v>
      </c>
      <c r="J1564" s="154" t="s">
        <v>621</v>
      </c>
      <c r="K1564" s="154" t="s">
        <v>2426</v>
      </c>
      <c r="L1564" s="154">
        <v>3</v>
      </c>
      <c r="N1564" s="155"/>
      <c r="O1564" s="156"/>
      <c r="P1564" s="157"/>
      <c r="Q1564" s="158"/>
      <c r="R1564" s="159"/>
      <c r="S1564" s="160"/>
      <c r="T1564" s="161"/>
      <c r="U1564" s="156"/>
      <c r="V1564" s="162"/>
      <c r="W1564" s="163"/>
      <c r="X1564" s="164"/>
      <c r="Y1564" s="159" t="s">
        <v>1112</v>
      </c>
      <c r="Z1564" s="161"/>
      <c r="AA1564" s="165"/>
      <c r="AE1564" s="155"/>
      <c r="AF1564" s="154" t="s">
        <v>5921</v>
      </c>
      <c r="AI1564" s="154" t="s">
        <v>5922</v>
      </c>
      <c r="AL1564" s="154" t="s">
        <v>31</v>
      </c>
      <c r="AM1564" s="154" t="s">
        <v>2426</v>
      </c>
      <c r="AP1564" s="155"/>
      <c r="AQ1564" s="156"/>
      <c r="AR1564" s="157"/>
      <c r="AS1564" s="158"/>
      <c r="AT1564" s="159"/>
      <c r="AU1564" s="161"/>
      <c r="AV1564" s="156"/>
      <c r="AW1564" s="162"/>
      <c r="AX1564" s="163"/>
      <c r="AY1564" s="164">
        <v>3</v>
      </c>
      <c r="AZ1564" s="159" t="s">
        <v>1112</v>
      </c>
      <c r="BA1564" s="161"/>
      <c r="BB1564" s="165">
        <v>2</v>
      </c>
      <c r="BE1564" s="154" t="s">
        <v>5923</v>
      </c>
      <c r="BF1564" s="155"/>
      <c r="BG1564" s="154" t="s">
        <v>5924</v>
      </c>
    </row>
    <row r="1565" spans="1:59" s="154" customFormat="1" ht="15" customHeight="1">
      <c r="A1565" s="153" t="s">
        <v>5693</v>
      </c>
      <c r="B1565" s="23" t="s">
        <v>5925</v>
      </c>
      <c r="C1565" s="154" t="s">
        <v>5695</v>
      </c>
      <c r="D1565" s="155">
        <v>56</v>
      </c>
      <c r="E1565" s="154">
        <v>1</v>
      </c>
      <c r="F1565" s="154" t="s">
        <v>5897</v>
      </c>
      <c r="G1565" s="154" t="s">
        <v>5926</v>
      </c>
      <c r="J1565" s="154" t="s">
        <v>621</v>
      </c>
      <c r="K1565" s="154" t="s">
        <v>2426</v>
      </c>
      <c r="L1565" s="154">
        <v>4</v>
      </c>
      <c r="N1565" s="155"/>
      <c r="O1565" s="156"/>
      <c r="P1565" s="157"/>
      <c r="Q1565" s="158"/>
      <c r="R1565" s="159"/>
      <c r="S1565" s="160"/>
      <c r="T1565" s="161"/>
      <c r="U1565" s="156"/>
      <c r="V1565" s="162"/>
      <c r="W1565" s="163"/>
      <c r="X1565" s="164"/>
      <c r="Y1565" s="159" t="s">
        <v>38</v>
      </c>
      <c r="Z1565" s="161"/>
      <c r="AA1565" s="165"/>
      <c r="AE1565" s="155"/>
      <c r="AF1565" s="154" t="s">
        <v>5927</v>
      </c>
      <c r="AI1565" s="154" t="s">
        <v>5928</v>
      </c>
      <c r="AL1565" s="154" t="s">
        <v>621</v>
      </c>
      <c r="AM1565" s="154" t="s">
        <v>2426</v>
      </c>
      <c r="AN1565" s="154">
        <v>4</v>
      </c>
      <c r="AP1565" s="155"/>
      <c r="AQ1565" s="156"/>
      <c r="AR1565" s="157"/>
      <c r="AS1565" s="158"/>
      <c r="AT1565" s="159"/>
      <c r="AU1565" s="161"/>
      <c r="AV1565" s="156"/>
      <c r="AW1565" s="162"/>
      <c r="AX1565" s="163"/>
      <c r="AY1565" s="164"/>
      <c r="AZ1565" s="159"/>
      <c r="BA1565" s="161"/>
      <c r="BB1565" s="165"/>
      <c r="BF1565" s="155"/>
      <c r="BG1565" s="154" t="s">
        <v>5929</v>
      </c>
    </row>
    <row r="1566" spans="1:59" s="154" customFormat="1" ht="15" customHeight="1">
      <c r="A1566" s="153" t="s">
        <v>5693</v>
      </c>
      <c r="B1566" s="23" t="s">
        <v>5930</v>
      </c>
      <c r="C1566" s="154" t="s">
        <v>5695</v>
      </c>
      <c r="D1566" s="155">
        <v>57</v>
      </c>
      <c r="E1566" s="154">
        <v>1</v>
      </c>
      <c r="F1566" s="154" t="s">
        <v>5897</v>
      </c>
      <c r="G1566" s="154" t="s">
        <v>5931</v>
      </c>
      <c r="H1566" s="154" t="s">
        <v>5932</v>
      </c>
      <c r="I1566" s="154" t="s">
        <v>223</v>
      </c>
      <c r="J1566" s="154" t="s">
        <v>29</v>
      </c>
      <c r="K1566" s="154" t="s">
        <v>2426</v>
      </c>
      <c r="N1566" s="155"/>
      <c r="O1566" s="156"/>
      <c r="P1566" s="157"/>
      <c r="Q1566" s="158">
        <v>4</v>
      </c>
      <c r="R1566" s="159">
        <v>4</v>
      </c>
      <c r="S1566" s="160"/>
      <c r="T1566" s="161" t="s">
        <v>4883</v>
      </c>
      <c r="U1566" s="156"/>
      <c r="V1566" s="162">
        <v>1</v>
      </c>
      <c r="W1566" s="163">
        <v>1</v>
      </c>
      <c r="X1566" s="164"/>
      <c r="Y1566" s="159"/>
      <c r="Z1566" s="161"/>
      <c r="AA1566" s="165">
        <v>2</v>
      </c>
      <c r="AD1566" s="154" t="s">
        <v>5933</v>
      </c>
      <c r="AE1566" s="155"/>
      <c r="AF1566" s="154" t="s">
        <v>5934</v>
      </c>
      <c r="AP1566" s="155"/>
      <c r="AQ1566" s="156"/>
      <c r="AR1566" s="157"/>
      <c r="AS1566" s="158"/>
      <c r="AT1566" s="159"/>
      <c r="AU1566" s="161"/>
      <c r="AV1566" s="156"/>
      <c r="AW1566" s="162"/>
      <c r="AX1566" s="163"/>
      <c r="AY1566" s="164"/>
      <c r="AZ1566" s="159"/>
      <c r="BA1566" s="161"/>
      <c r="BB1566" s="165"/>
      <c r="BF1566" s="155"/>
    </row>
    <row r="1567" spans="1:59" s="154" customFormat="1" ht="15" customHeight="1">
      <c r="A1567" s="153" t="s">
        <v>5693</v>
      </c>
      <c r="B1567" s="23" t="s">
        <v>5935</v>
      </c>
      <c r="C1567" s="154" t="s">
        <v>5695</v>
      </c>
      <c r="D1567" s="155">
        <v>58</v>
      </c>
      <c r="E1567" s="154">
        <v>1</v>
      </c>
      <c r="F1567" s="154" t="s">
        <v>5897</v>
      </c>
      <c r="G1567" s="154" t="s">
        <v>5936</v>
      </c>
      <c r="J1567" s="154" t="s">
        <v>31</v>
      </c>
      <c r="K1567" s="154" t="s">
        <v>2426</v>
      </c>
      <c r="N1567" s="155"/>
      <c r="O1567" s="156"/>
      <c r="P1567" s="157"/>
      <c r="Q1567" s="158"/>
      <c r="R1567" s="159"/>
      <c r="S1567" s="160"/>
      <c r="T1567" s="161"/>
      <c r="U1567" s="156"/>
      <c r="V1567" s="162"/>
      <c r="W1567" s="163"/>
      <c r="X1567" s="164"/>
      <c r="Y1567" s="159"/>
      <c r="Z1567" s="161"/>
      <c r="AA1567" s="165"/>
      <c r="AD1567" s="154" t="s">
        <v>472</v>
      </c>
      <c r="AE1567" s="155"/>
      <c r="AI1567" s="154" t="s">
        <v>5936</v>
      </c>
      <c r="AJ1567" s="154" t="s">
        <v>5937</v>
      </c>
      <c r="AL1567" s="154" t="s">
        <v>31</v>
      </c>
      <c r="AM1567" s="154" t="s">
        <v>2426</v>
      </c>
      <c r="AP1567" s="155"/>
      <c r="AQ1567" s="156"/>
      <c r="AR1567" s="157"/>
      <c r="AS1567" s="158"/>
      <c r="AT1567" s="159"/>
      <c r="AU1567" s="161"/>
      <c r="AV1567" s="156"/>
      <c r="AW1567" s="162"/>
      <c r="AX1567" s="163"/>
      <c r="AY1567" s="164">
        <v>2</v>
      </c>
      <c r="AZ1567" s="159" t="s">
        <v>1073</v>
      </c>
      <c r="BA1567" s="161"/>
      <c r="BB1567" s="165">
        <v>1</v>
      </c>
      <c r="BE1567" s="154" t="s">
        <v>472</v>
      </c>
      <c r="BF1567" s="155"/>
      <c r="BG1567" s="154" t="s">
        <v>5938</v>
      </c>
    </row>
    <row r="1568" spans="1:59" s="154" customFormat="1" ht="15" customHeight="1">
      <c r="A1568" s="153" t="s">
        <v>5693</v>
      </c>
      <c r="B1568" s="23" t="s">
        <v>5939</v>
      </c>
      <c r="C1568" s="154" t="s">
        <v>5695</v>
      </c>
      <c r="D1568" s="155">
        <v>59</v>
      </c>
      <c r="E1568" s="154">
        <v>1</v>
      </c>
      <c r="F1568" s="154" t="s">
        <v>5897</v>
      </c>
      <c r="G1568" s="154" t="s">
        <v>5936</v>
      </c>
      <c r="J1568" s="154" t="s">
        <v>31</v>
      </c>
      <c r="K1568" s="154" t="s">
        <v>2426</v>
      </c>
      <c r="N1568" s="155"/>
      <c r="O1568" s="156"/>
      <c r="P1568" s="157"/>
      <c r="Q1568" s="158"/>
      <c r="R1568" s="159"/>
      <c r="S1568" s="160"/>
      <c r="T1568" s="161"/>
      <c r="U1568" s="156"/>
      <c r="V1568" s="162"/>
      <c r="W1568" s="163"/>
      <c r="X1568" s="164"/>
      <c r="Y1568" s="159"/>
      <c r="Z1568" s="161"/>
      <c r="AA1568" s="165"/>
      <c r="AD1568" s="154" t="s">
        <v>472</v>
      </c>
      <c r="AE1568" s="155"/>
      <c r="AI1568" s="154" t="s">
        <v>5936</v>
      </c>
      <c r="AJ1568" s="154" t="s">
        <v>5940</v>
      </c>
      <c r="AL1568" s="154" t="s">
        <v>31</v>
      </c>
      <c r="AM1568" s="154" t="s">
        <v>2426</v>
      </c>
      <c r="AP1568" s="155"/>
      <c r="AQ1568" s="156"/>
      <c r="AR1568" s="157"/>
      <c r="AS1568" s="158"/>
      <c r="AT1568" s="159"/>
      <c r="AU1568" s="161"/>
      <c r="AV1568" s="156"/>
      <c r="AW1568" s="162"/>
      <c r="AX1568" s="163"/>
      <c r="AY1568" s="164">
        <v>3</v>
      </c>
      <c r="AZ1568" s="159" t="s">
        <v>1111</v>
      </c>
      <c r="BA1568" s="161"/>
      <c r="BB1568" s="165">
        <v>1</v>
      </c>
      <c r="BE1568" s="154" t="s">
        <v>472</v>
      </c>
      <c r="BF1568" s="155"/>
      <c r="BG1568" s="154" t="s">
        <v>5941</v>
      </c>
    </row>
    <row r="1569" spans="1:59" s="154" customFormat="1" ht="15" customHeight="1">
      <c r="A1569" s="153" t="s">
        <v>5693</v>
      </c>
      <c r="B1569" s="23" t="s">
        <v>5942</v>
      </c>
      <c r="C1569" s="154" t="s">
        <v>5695</v>
      </c>
      <c r="D1569" s="155">
        <v>60</v>
      </c>
      <c r="E1569" s="154">
        <v>1</v>
      </c>
      <c r="F1569" s="154" t="s">
        <v>5897</v>
      </c>
      <c r="G1569" s="154" t="s">
        <v>5936</v>
      </c>
      <c r="J1569" s="154" t="s">
        <v>31</v>
      </c>
      <c r="K1569" s="154" t="s">
        <v>2426</v>
      </c>
      <c r="N1569" s="155"/>
      <c r="O1569" s="156"/>
      <c r="P1569" s="157"/>
      <c r="Q1569" s="158"/>
      <c r="R1569" s="159"/>
      <c r="S1569" s="160"/>
      <c r="T1569" s="161"/>
      <c r="U1569" s="156"/>
      <c r="V1569" s="162"/>
      <c r="W1569" s="163"/>
      <c r="X1569" s="164"/>
      <c r="Y1569" s="159"/>
      <c r="Z1569" s="161"/>
      <c r="AA1569" s="165"/>
      <c r="AD1569" s="154" t="s">
        <v>472</v>
      </c>
      <c r="AE1569" s="155"/>
      <c r="AI1569" s="154" t="s">
        <v>5936</v>
      </c>
      <c r="AJ1569" s="154" t="s">
        <v>5943</v>
      </c>
      <c r="AL1569" s="154" t="s">
        <v>31</v>
      </c>
      <c r="AM1569" s="154" t="s">
        <v>2426</v>
      </c>
      <c r="AP1569" s="155"/>
      <c r="AQ1569" s="156"/>
      <c r="AR1569" s="157"/>
      <c r="AS1569" s="158"/>
      <c r="AT1569" s="159"/>
      <c r="AU1569" s="161"/>
      <c r="AV1569" s="156"/>
      <c r="AW1569" s="162"/>
      <c r="AX1569" s="163"/>
      <c r="AY1569" s="164">
        <v>2</v>
      </c>
      <c r="AZ1569" s="159" t="s">
        <v>1073</v>
      </c>
      <c r="BA1569" s="161"/>
      <c r="BB1569" s="165">
        <v>1</v>
      </c>
      <c r="BE1569" s="154" t="s">
        <v>472</v>
      </c>
      <c r="BF1569" s="155"/>
      <c r="BG1569" s="154" t="s">
        <v>5944</v>
      </c>
    </row>
    <row r="1570" spans="1:59" s="154" customFormat="1" ht="15" customHeight="1">
      <c r="A1570" s="153" t="s">
        <v>5693</v>
      </c>
      <c r="B1570" s="23" t="s">
        <v>5945</v>
      </c>
      <c r="C1570" s="154" t="s">
        <v>5695</v>
      </c>
      <c r="D1570" s="155">
        <v>61</v>
      </c>
      <c r="E1570" s="154">
        <v>1</v>
      </c>
      <c r="F1570" s="154" t="s">
        <v>5897</v>
      </c>
      <c r="G1570" s="154" t="s">
        <v>5936</v>
      </c>
      <c r="J1570" s="154" t="s">
        <v>31</v>
      </c>
      <c r="K1570" s="154" t="s">
        <v>2426</v>
      </c>
      <c r="N1570" s="155"/>
      <c r="O1570" s="156"/>
      <c r="P1570" s="157"/>
      <c r="Q1570" s="158"/>
      <c r="R1570" s="159"/>
      <c r="S1570" s="160"/>
      <c r="T1570" s="161"/>
      <c r="U1570" s="156"/>
      <c r="V1570" s="162"/>
      <c r="W1570" s="163"/>
      <c r="X1570" s="164"/>
      <c r="Y1570" s="159"/>
      <c r="Z1570" s="161"/>
      <c r="AA1570" s="165"/>
      <c r="AD1570" s="154" t="s">
        <v>472</v>
      </c>
      <c r="AE1570" s="155"/>
      <c r="AI1570" s="154" t="s">
        <v>5936</v>
      </c>
      <c r="AJ1570" s="154" t="s">
        <v>5946</v>
      </c>
      <c r="AL1570" s="154" t="s">
        <v>31</v>
      </c>
      <c r="AM1570" s="154" t="s">
        <v>2426</v>
      </c>
      <c r="AP1570" s="155"/>
      <c r="AQ1570" s="156"/>
      <c r="AR1570" s="157"/>
      <c r="AS1570" s="158"/>
      <c r="AT1570" s="159"/>
      <c r="AU1570" s="161"/>
      <c r="AV1570" s="156"/>
      <c r="AW1570" s="162"/>
      <c r="AX1570" s="163"/>
      <c r="AY1570" s="164">
        <v>1</v>
      </c>
      <c r="AZ1570" s="159" t="s">
        <v>1111</v>
      </c>
      <c r="BA1570" s="161"/>
      <c r="BB1570" s="165">
        <v>1</v>
      </c>
      <c r="BE1570" s="154" t="s">
        <v>472</v>
      </c>
      <c r="BF1570" s="155"/>
      <c r="BG1570" s="154" t="s">
        <v>5947</v>
      </c>
    </row>
    <row r="1571" spans="1:59" s="154" customFormat="1" ht="15" customHeight="1">
      <c r="A1571" s="153" t="s">
        <v>5693</v>
      </c>
      <c r="B1571" s="23" t="s">
        <v>5948</v>
      </c>
      <c r="C1571" s="154" t="s">
        <v>5695</v>
      </c>
      <c r="D1571" s="155">
        <v>62</v>
      </c>
      <c r="E1571" s="154">
        <v>1</v>
      </c>
      <c r="F1571" s="154" t="s">
        <v>5897</v>
      </c>
      <c r="G1571" s="154" t="s">
        <v>5936</v>
      </c>
      <c r="J1571" s="154" t="s">
        <v>31</v>
      </c>
      <c r="K1571" s="154" t="s">
        <v>2426</v>
      </c>
      <c r="N1571" s="155"/>
      <c r="O1571" s="156"/>
      <c r="P1571" s="157"/>
      <c r="Q1571" s="158"/>
      <c r="R1571" s="159"/>
      <c r="S1571" s="160"/>
      <c r="T1571" s="161"/>
      <c r="U1571" s="156"/>
      <c r="V1571" s="162"/>
      <c r="W1571" s="163"/>
      <c r="X1571" s="164"/>
      <c r="Y1571" s="159"/>
      <c r="Z1571" s="161"/>
      <c r="AA1571" s="165"/>
      <c r="AD1571" s="154" t="s">
        <v>472</v>
      </c>
      <c r="AE1571" s="155"/>
      <c r="AI1571" s="154" t="s">
        <v>5936</v>
      </c>
      <c r="AJ1571" s="154" t="s">
        <v>5949</v>
      </c>
      <c r="AL1571" s="154" t="s">
        <v>31</v>
      </c>
      <c r="AM1571" s="154" t="s">
        <v>2426</v>
      </c>
      <c r="AP1571" s="155"/>
      <c r="AQ1571" s="156"/>
      <c r="AR1571" s="157"/>
      <c r="AS1571" s="158"/>
      <c r="AT1571" s="159"/>
      <c r="AU1571" s="161"/>
      <c r="AV1571" s="156"/>
      <c r="AW1571" s="162"/>
      <c r="AX1571" s="163"/>
      <c r="AY1571" s="164">
        <v>3</v>
      </c>
      <c r="AZ1571" s="159" t="s">
        <v>1073</v>
      </c>
      <c r="BA1571" s="161"/>
      <c r="BB1571" s="165">
        <v>1</v>
      </c>
      <c r="BE1571" s="154" t="s">
        <v>472</v>
      </c>
      <c r="BF1571" s="155"/>
      <c r="BG1571" s="154" t="s">
        <v>5950</v>
      </c>
    </row>
    <row r="1572" spans="1:59" s="154" customFormat="1" ht="15" customHeight="1">
      <c r="A1572" s="153" t="s">
        <v>5693</v>
      </c>
      <c r="B1572" s="23" t="s">
        <v>5951</v>
      </c>
      <c r="C1572" s="154" t="s">
        <v>5695</v>
      </c>
      <c r="D1572" s="155">
        <v>63</v>
      </c>
      <c r="E1572" s="154">
        <v>1</v>
      </c>
      <c r="F1572" s="154" t="s">
        <v>5897</v>
      </c>
      <c r="G1572" s="154" t="s">
        <v>5936</v>
      </c>
      <c r="J1572" s="154" t="s">
        <v>31</v>
      </c>
      <c r="K1572" s="154" t="s">
        <v>2426</v>
      </c>
      <c r="N1572" s="155"/>
      <c r="O1572" s="156"/>
      <c r="P1572" s="157"/>
      <c r="Q1572" s="158"/>
      <c r="R1572" s="159"/>
      <c r="S1572" s="160"/>
      <c r="T1572" s="161"/>
      <c r="U1572" s="156"/>
      <c r="V1572" s="162"/>
      <c r="W1572" s="163"/>
      <c r="X1572" s="164"/>
      <c r="Y1572" s="159"/>
      <c r="Z1572" s="161"/>
      <c r="AA1572" s="165"/>
      <c r="AD1572" s="154" t="s">
        <v>472</v>
      </c>
      <c r="AE1572" s="155"/>
      <c r="AI1572" s="154" t="s">
        <v>5936</v>
      </c>
      <c r="AJ1572" s="154" t="s">
        <v>5952</v>
      </c>
      <c r="AL1572" s="154" t="s">
        <v>31</v>
      </c>
      <c r="AM1572" s="154" t="s">
        <v>2426</v>
      </c>
      <c r="AP1572" s="155"/>
      <c r="AQ1572" s="156"/>
      <c r="AR1572" s="157"/>
      <c r="AS1572" s="158"/>
      <c r="AT1572" s="159"/>
      <c r="AU1572" s="161"/>
      <c r="AV1572" s="156"/>
      <c r="AW1572" s="162"/>
      <c r="AX1572" s="163"/>
      <c r="AY1572" s="164">
        <v>4</v>
      </c>
      <c r="AZ1572" s="159" t="s">
        <v>1111</v>
      </c>
      <c r="BA1572" s="161"/>
      <c r="BB1572" s="165">
        <v>1</v>
      </c>
      <c r="BE1572" s="154" t="s">
        <v>472</v>
      </c>
      <c r="BF1572" s="155"/>
      <c r="BG1572" s="154" t="s">
        <v>5953</v>
      </c>
    </row>
    <row r="1573" spans="1:59" s="154" customFormat="1" ht="15" customHeight="1">
      <c r="A1573" s="153" t="s">
        <v>5693</v>
      </c>
      <c r="B1573" s="23" t="s">
        <v>5954</v>
      </c>
      <c r="C1573" s="154" t="s">
        <v>5695</v>
      </c>
      <c r="D1573" s="155">
        <v>64</v>
      </c>
      <c r="E1573" s="154">
        <v>1</v>
      </c>
      <c r="F1573" s="154" t="s">
        <v>5897</v>
      </c>
      <c r="G1573" s="154" t="s">
        <v>5936</v>
      </c>
      <c r="J1573" s="154" t="s">
        <v>31</v>
      </c>
      <c r="K1573" s="154" t="s">
        <v>2426</v>
      </c>
      <c r="N1573" s="155"/>
      <c r="O1573" s="156"/>
      <c r="P1573" s="157"/>
      <c r="Q1573" s="158"/>
      <c r="R1573" s="159"/>
      <c r="S1573" s="160"/>
      <c r="T1573" s="161"/>
      <c r="U1573" s="156"/>
      <c r="V1573" s="162"/>
      <c r="W1573" s="163"/>
      <c r="X1573" s="164"/>
      <c r="Y1573" s="159"/>
      <c r="Z1573" s="161"/>
      <c r="AA1573" s="165"/>
      <c r="AD1573" s="154" t="s">
        <v>472</v>
      </c>
      <c r="AE1573" s="155"/>
      <c r="AI1573" s="154" t="s">
        <v>5936</v>
      </c>
      <c r="AJ1573" s="154" t="s">
        <v>5955</v>
      </c>
      <c r="AL1573" s="154" t="s">
        <v>31</v>
      </c>
      <c r="AM1573" s="154" t="s">
        <v>2426</v>
      </c>
      <c r="AP1573" s="155"/>
      <c r="AQ1573" s="156"/>
      <c r="AR1573" s="157"/>
      <c r="AS1573" s="158"/>
      <c r="AT1573" s="159"/>
      <c r="AU1573" s="161"/>
      <c r="AV1573" s="156"/>
      <c r="AW1573" s="162"/>
      <c r="AX1573" s="163"/>
      <c r="AY1573" s="164">
        <v>3</v>
      </c>
      <c r="AZ1573" s="159" t="s">
        <v>1073</v>
      </c>
      <c r="BA1573" s="161"/>
      <c r="BB1573" s="165">
        <v>1</v>
      </c>
      <c r="BE1573" s="154" t="s">
        <v>472</v>
      </c>
      <c r="BF1573" s="155"/>
      <c r="BG1573" s="154" t="s">
        <v>5956</v>
      </c>
    </row>
    <row r="1574" spans="1:59" s="154" customFormat="1" ht="15" customHeight="1">
      <c r="A1574" s="153" t="s">
        <v>5693</v>
      </c>
      <c r="B1574" s="23" t="s">
        <v>5957</v>
      </c>
      <c r="C1574" s="154" t="s">
        <v>5695</v>
      </c>
      <c r="D1574" s="155">
        <v>65</v>
      </c>
      <c r="E1574" s="154">
        <v>1</v>
      </c>
      <c r="F1574" s="154" t="s">
        <v>5958</v>
      </c>
      <c r="G1574" s="154" t="s">
        <v>5958</v>
      </c>
      <c r="J1574" s="154" t="s">
        <v>618</v>
      </c>
      <c r="K1574" s="154" t="s">
        <v>2426</v>
      </c>
      <c r="N1574" s="155"/>
      <c r="O1574" s="156"/>
      <c r="P1574" s="157"/>
      <c r="Q1574" s="158"/>
      <c r="R1574" s="159"/>
      <c r="S1574" s="160"/>
      <c r="T1574" s="161"/>
      <c r="U1574" s="156"/>
      <c r="V1574" s="162"/>
      <c r="W1574" s="163"/>
      <c r="X1574" s="164"/>
      <c r="Y1574" s="159"/>
      <c r="Z1574" s="161"/>
      <c r="AA1574" s="165"/>
      <c r="AE1574" s="155"/>
      <c r="AF1574" s="154" t="s">
        <v>5959</v>
      </c>
      <c r="AI1574" s="154" t="s">
        <v>5958</v>
      </c>
      <c r="AL1574" s="154" t="s">
        <v>618</v>
      </c>
      <c r="AM1574" s="154" t="s">
        <v>2426</v>
      </c>
      <c r="AP1574" s="155"/>
      <c r="AQ1574" s="156"/>
      <c r="AR1574" s="157"/>
      <c r="AS1574" s="158"/>
      <c r="AT1574" s="159"/>
      <c r="AU1574" s="161"/>
      <c r="AV1574" s="156"/>
      <c r="AW1574" s="162"/>
      <c r="AX1574" s="163"/>
      <c r="AY1574" s="164"/>
      <c r="AZ1574" s="159"/>
      <c r="BA1574" s="161"/>
      <c r="BB1574" s="165"/>
      <c r="BF1574" s="155"/>
      <c r="BG1574" s="154" t="s">
        <v>5960</v>
      </c>
    </row>
    <row r="1575" spans="1:59" s="154" customFormat="1" ht="15" customHeight="1">
      <c r="A1575" s="153" t="s">
        <v>5693</v>
      </c>
      <c r="B1575" s="23" t="s">
        <v>5961</v>
      </c>
      <c r="C1575" s="154" t="s">
        <v>5695</v>
      </c>
      <c r="D1575" s="155">
        <v>66</v>
      </c>
      <c r="E1575" s="154">
        <v>1</v>
      </c>
      <c r="F1575" s="154" t="s">
        <v>5958</v>
      </c>
      <c r="G1575" s="154" t="s">
        <v>5962</v>
      </c>
      <c r="J1575" s="154" t="s">
        <v>619</v>
      </c>
      <c r="K1575" s="154" t="s">
        <v>2426</v>
      </c>
      <c r="L1575" s="154">
        <v>1</v>
      </c>
      <c r="N1575" s="155"/>
      <c r="O1575" s="156"/>
      <c r="P1575" s="157"/>
      <c r="Q1575" s="158"/>
      <c r="R1575" s="159"/>
      <c r="S1575" s="160"/>
      <c r="T1575" s="161"/>
      <c r="U1575" s="156"/>
      <c r="V1575" s="162"/>
      <c r="W1575" s="163"/>
      <c r="X1575" s="164"/>
      <c r="Y1575" s="159"/>
      <c r="Z1575" s="161">
        <v>8</v>
      </c>
      <c r="AA1575" s="165"/>
      <c r="AE1575" s="155"/>
      <c r="AF1575" s="154" t="s">
        <v>5963</v>
      </c>
      <c r="AI1575" s="154" t="s">
        <v>5964</v>
      </c>
      <c r="AL1575" s="154" t="s">
        <v>619</v>
      </c>
      <c r="AM1575" s="154" t="s">
        <v>2426</v>
      </c>
      <c r="AN1575" s="154">
        <v>1</v>
      </c>
      <c r="AP1575" s="155"/>
      <c r="AQ1575" s="156"/>
      <c r="AR1575" s="157"/>
      <c r="AS1575" s="158"/>
      <c r="AT1575" s="159"/>
      <c r="AU1575" s="161"/>
      <c r="AV1575" s="156"/>
      <c r="AW1575" s="162"/>
      <c r="AX1575" s="163"/>
      <c r="AY1575" s="164"/>
      <c r="AZ1575" s="159"/>
      <c r="BA1575" s="161"/>
      <c r="BB1575" s="165"/>
      <c r="BF1575" s="155"/>
      <c r="BG1575" s="154" t="s">
        <v>5965</v>
      </c>
    </row>
    <row r="1576" spans="1:59" s="154" customFormat="1" ht="15" customHeight="1">
      <c r="A1576" s="153" t="s">
        <v>5693</v>
      </c>
      <c r="B1576" s="23" t="s">
        <v>5966</v>
      </c>
      <c r="C1576" s="154" t="s">
        <v>5695</v>
      </c>
      <c r="D1576" s="155">
        <v>67</v>
      </c>
      <c r="E1576" s="154">
        <v>1</v>
      </c>
      <c r="F1576" s="154" t="s">
        <v>5958</v>
      </c>
      <c r="G1576" s="154" t="s">
        <v>5967</v>
      </c>
      <c r="J1576" s="154" t="s">
        <v>619</v>
      </c>
      <c r="K1576" s="154" t="s">
        <v>2426</v>
      </c>
      <c r="L1576" s="154">
        <v>2</v>
      </c>
      <c r="N1576" s="155"/>
      <c r="O1576" s="156"/>
      <c r="P1576" s="157"/>
      <c r="Q1576" s="158"/>
      <c r="R1576" s="159"/>
      <c r="S1576" s="160"/>
      <c r="T1576" s="161"/>
      <c r="U1576" s="156"/>
      <c r="V1576" s="162"/>
      <c r="W1576" s="163"/>
      <c r="X1576" s="164"/>
      <c r="Y1576" s="159"/>
      <c r="Z1576" s="161">
        <v>11</v>
      </c>
      <c r="AA1576" s="165"/>
      <c r="AE1576" s="155"/>
      <c r="AF1576" s="154" t="s">
        <v>5968</v>
      </c>
      <c r="AI1576" s="154" t="s">
        <v>5969</v>
      </c>
      <c r="AL1576" s="154" t="s">
        <v>619</v>
      </c>
      <c r="AM1576" s="154" t="s">
        <v>2426</v>
      </c>
      <c r="AN1576" s="154">
        <v>2</v>
      </c>
      <c r="AP1576" s="155"/>
      <c r="AQ1576" s="156"/>
      <c r="AR1576" s="157"/>
      <c r="AS1576" s="158"/>
      <c r="AT1576" s="159"/>
      <c r="AU1576" s="161"/>
      <c r="AV1576" s="156"/>
      <c r="AW1576" s="162"/>
      <c r="AX1576" s="163"/>
      <c r="AY1576" s="164"/>
      <c r="AZ1576" s="159"/>
      <c r="BA1576" s="161"/>
      <c r="BB1576" s="165"/>
      <c r="BF1576" s="155"/>
      <c r="BG1576" s="154" t="s">
        <v>5970</v>
      </c>
    </row>
    <row r="1577" spans="1:59" s="154" customFormat="1" ht="15" customHeight="1">
      <c r="A1577" s="153" t="s">
        <v>5693</v>
      </c>
      <c r="B1577" s="23" t="s">
        <v>5971</v>
      </c>
      <c r="C1577" s="154" t="s">
        <v>5695</v>
      </c>
      <c r="D1577" s="155">
        <v>68</v>
      </c>
      <c r="E1577" s="154">
        <v>1</v>
      </c>
      <c r="F1577" s="154" t="s">
        <v>5958</v>
      </c>
      <c r="G1577" s="154" t="s">
        <v>5972</v>
      </c>
      <c r="J1577" s="154" t="s">
        <v>621</v>
      </c>
      <c r="K1577" s="154" t="s">
        <v>2426</v>
      </c>
      <c r="L1577" s="154">
        <v>1</v>
      </c>
      <c r="N1577" s="155"/>
      <c r="O1577" s="156"/>
      <c r="P1577" s="157"/>
      <c r="Q1577" s="158"/>
      <c r="R1577" s="159"/>
      <c r="S1577" s="160"/>
      <c r="T1577" s="161"/>
      <c r="U1577" s="156"/>
      <c r="V1577" s="162"/>
      <c r="W1577" s="163"/>
      <c r="X1577" s="164"/>
      <c r="Y1577" s="159" t="s">
        <v>38</v>
      </c>
      <c r="Z1577" s="161"/>
      <c r="AA1577" s="165"/>
      <c r="AE1577" s="155"/>
      <c r="AF1577" s="154" t="s">
        <v>5973</v>
      </c>
      <c r="AI1577" s="154" t="s">
        <v>5974</v>
      </c>
      <c r="AL1577" s="154" t="s">
        <v>621</v>
      </c>
      <c r="AM1577" s="154" t="s">
        <v>2426</v>
      </c>
      <c r="AN1577" s="154">
        <v>1</v>
      </c>
      <c r="AP1577" s="155"/>
      <c r="AQ1577" s="156"/>
      <c r="AR1577" s="157"/>
      <c r="AS1577" s="158"/>
      <c r="AT1577" s="159"/>
      <c r="AU1577" s="161"/>
      <c r="AV1577" s="156"/>
      <c r="AW1577" s="162"/>
      <c r="AX1577" s="163"/>
      <c r="AY1577" s="164"/>
      <c r="AZ1577" s="159"/>
      <c r="BA1577" s="161"/>
      <c r="BB1577" s="165"/>
      <c r="BF1577" s="155"/>
      <c r="BG1577" s="154" t="s">
        <v>5975</v>
      </c>
    </row>
    <row r="1578" spans="1:59" s="154" customFormat="1" ht="15" customHeight="1">
      <c r="A1578" s="153" t="s">
        <v>5693</v>
      </c>
      <c r="B1578" s="23" t="s">
        <v>5976</v>
      </c>
      <c r="C1578" s="154" t="s">
        <v>5695</v>
      </c>
      <c r="D1578" s="155">
        <v>69</v>
      </c>
      <c r="E1578" s="154">
        <v>1</v>
      </c>
      <c r="F1578" s="154" t="s">
        <v>5958</v>
      </c>
      <c r="G1578" s="154" t="s">
        <v>5977</v>
      </c>
      <c r="J1578" s="154" t="s">
        <v>621</v>
      </c>
      <c r="K1578" s="154" t="s">
        <v>2426</v>
      </c>
      <c r="L1578" s="154">
        <v>2</v>
      </c>
      <c r="N1578" s="155"/>
      <c r="O1578" s="156"/>
      <c r="P1578" s="157"/>
      <c r="Q1578" s="158"/>
      <c r="R1578" s="159"/>
      <c r="S1578" s="160"/>
      <c r="T1578" s="161"/>
      <c r="U1578" s="156"/>
      <c r="V1578" s="162"/>
      <c r="W1578" s="163"/>
      <c r="X1578" s="164"/>
      <c r="Y1578" s="159" t="s">
        <v>4883</v>
      </c>
      <c r="Z1578" s="161"/>
      <c r="AA1578" s="165"/>
      <c r="AE1578" s="155"/>
      <c r="AI1578" s="154" t="s">
        <v>3138</v>
      </c>
      <c r="AL1578" s="154" t="s">
        <v>621</v>
      </c>
      <c r="AM1578" s="154" t="s">
        <v>2426</v>
      </c>
      <c r="AN1578" s="154">
        <v>2</v>
      </c>
      <c r="AP1578" s="155"/>
      <c r="AQ1578" s="156"/>
      <c r="AR1578" s="157"/>
      <c r="AS1578" s="158"/>
      <c r="AT1578" s="159"/>
      <c r="AU1578" s="161"/>
      <c r="AV1578" s="156"/>
      <c r="AW1578" s="162"/>
      <c r="AX1578" s="163"/>
      <c r="AY1578" s="164"/>
      <c r="AZ1578" s="159"/>
      <c r="BA1578" s="161"/>
      <c r="BB1578" s="165"/>
      <c r="BF1578" s="155"/>
      <c r="BG1578" s="154" t="s">
        <v>5978</v>
      </c>
    </row>
    <row r="1579" spans="1:59" s="154" customFormat="1" ht="15" customHeight="1">
      <c r="A1579" s="153" t="s">
        <v>5693</v>
      </c>
      <c r="B1579" s="23" t="s">
        <v>5979</v>
      </c>
      <c r="C1579" s="154" t="s">
        <v>5695</v>
      </c>
      <c r="D1579" s="155">
        <v>70</v>
      </c>
      <c r="E1579" s="154">
        <v>1</v>
      </c>
      <c r="F1579" s="154" t="s">
        <v>5958</v>
      </c>
      <c r="G1579" s="154" t="s">
        <v>5980</v>
      </c>
      <c r="J1579" s="154" t="s">
        <v>621</v>
      </c>
      <c r="K1579" s="154" t="s">
        <v>2426</v>
      </c>
      <c r="L1579" s="154">
        <v>3</v>
      </c>
      <c r="N1579" s="155"/>
      <c r="O1579" s="156"/>
      <c r="P1579" s="157"/>
      <c r="Q1579" s="158"/>
      <c r="R1579" s="159"/>
      <c r="S1579" s="160"/>
      <c r="T1579" s="161"/>
      <c r="U1579" s="156"/>
      <c r="V1579" s="162"/>
      <c r="W1579" s="163"/>
      <c r="X1579" s="164"/>
      <c r="Y1579" s="159" t="s">
        <v>38</v>
      </c>
      <c r="Z1579" s="161"/>
      <c r="AA1579" s="165"/>
      <c r="AE1579" s="155"/>
      <c r="AF1579" s="154" t="s">
        <v>5981</v>
      </c>
      <c r="AI1579" s="154" t="s">
        <v>5982</v>
      </c>
      <c r="AL1579" s="154" t="s">
        <v>621</v>
      </c>
      <c r="AM1579" s="154" t="s">
        <v>2426</v>
      </c>
      <c r="AN1579" s="154">
        <v>3</v>
      </c>
      <c r="AP1579" s="155"/>
      <c r="AQ1579" s="156"/>
      <c r="AR1579" s="157"/>
      <c r="AS1579" s="158"/>
      <c r="AT1579" s="159"/>
      <c r="AU1579" s="161"/>
      <c r="AV1579" s="156"/>
      <c r="AW1579" s="162"/>
      <c r="AX1579" s="163"/>
      <c r="AY1579" s="164"/>
      <c r="AZ1579" s="159"/>
      <c r="BA1579" s="161"/>
      <c r="BB1579" s="165"/>
      <c r="BF1579" s="155"/>
      <c r="BG1579" s="154" t="s">
        <v>4555</v>
      </c>
    </row>
    <row r="1580" spans="1:59" s="154" customFormat="1" ht="15" customHeight="1">
      <c r="A1580" s="153" t="s">
        <v>5693</v>
      </c>
      <c r="B1580" s="23" t="s">
        <v>5983</v>
      </c>
      <c r="C1580" s="154" t="s">
        <v>5695</v>
      </c>
      <c r="D1580" s="155">
        <v>71</v>
      </c>
      <c r="E1580" s="154">
        <v>1</v>
      </c>
      <c r="F1580" s="154" t="s">
        <v>5958</v>
      </c>
      <c r="G1580" s="154" t="s">
        <v>3012</v>
      </c>
      <c r="J1580" s="154" t="s">
        <v>31</v>
      </c>
      <c r="K1580" s="154" t="s">
        <v>2426</v>
      </c>
      <c r="N1580" s="155"/>
      <c r="O1580" s="156"/>
      <c r="P1580" s="157"/>
      <c r="Q1580" s="158"/>
      <c r="R1580" s="159"/>
      <c r="S1580" s="160"/>
      <c r="T1580" s="161"/>
      <c r="U1580" s="156"/>
      <c r="V1580" s="162"/>
      <c r="W1580" s="163"/>
      <c r="X1580" s="164"/>
      <c r="Y1580" s="159"/>
      <c r="Z1580" s="161"/>
      <c r="AA1580" s="165"/>
      <c r="AE1580" s="155"/>
      <c r="AI1580" s="154" t="s">
        <v>3012</v>
      </c>
      <c r="AL1580" s="154" t="s">
        <v>31</v>
      </c>
      <c r="AM1580" s="154" t="s">
        <v>2426</v>
      </c>
      <c r="AP1580" s="155"/>
      <c r="AQ1580" s="156"/>
      <c r="AR1580" s="157"/>
      <c r="AS1580" s="158"/>
      <c r="AT1580" s="159"/>
      <c r="AU1580" s="161"/>
      <c r="AV1580" s="156"/>
      <c r="AW1580" s="162"/>
      <c r="AX1580" s="163"/>
      <c r="AY1580" s="164">
        <v>3</v>
      </c>
      <c r="AZ1580" s="159">
        <v>0</v>
      </c>
      <c r="BA1580" s="161"/>
      <c r="BB1580" s="165"/>
      <c r="BF1580" s="155"/>
      <c r="BG1580" s="154" t="s">
        <v>5984</v>
      </c>
    </row>
    <row r="1581" spans="1:59" s="154" customFormat="1" ht="15" customHeight="1">
      <c r="A1581" s="153" t="s">
        <v>5693</v>
      </c>
      <c r="B1581" s="23" t="s">
        <v>5985</v>
      </c>
      <c r="C1581" s="154" t="s">
        <v>5695</v>
      </c>
      <c r="D1581" s="155">
        <v>72</v>
      </c>
      <c r="E1581" s="154">
        <v>1</v>
      </c>
      <c r="F1581" s="154" t="s">
        <v>5958</v>
      </c>
      <c r="G1581" s="154" t="s">
        <v>5986</v>
      </c>
      <c r="J1581" s="154" t="s">
        <v>31</v>
      </c>
      <c r="K1581" s="154" t="s">
        <v>2426</v>
      </c>
      <c r="N1581" s="155"/>
      <c r="O1581" s="156"/>
      <c r="P1581" s="157"/>
      <c r="Q1581" s="158"/>
      <c r="R1581" s="159"/>
      <c r="S1581" s="160"/>
      <c r="T1581" s="161"/>
      <c r="U1581" s="156"/>
      <c r="V1581" s="162"/>
      <c r="W1581" s="163"/>
      <c r="X1581" s="164"/>
      <c r="Y1581" s="159"/>
      <c r="Z1581" s="161"/>
      <c r="AA1581" s="165"/>
      <c r="AE1581" s="155"/>
      <c r="AI1581" s="154" t="s">
        <v>5986</v>
      </c>
      <c r="AL1581" s="154" t="s">
        <v>31</v>
      </c>
      <c r="AM1581" s="154" t="s">
        <v>2426</v>
      </c>
      <c r="AP1581" s="155"/>
      <c r="AQ1581" s="156"/>
      <c r="AR1581" s="157"/>
      <c r="AS1581" s="158"/>
      <c r="AT1581" s="159"/>
      <c r="AU1581" s="161"/>
      <c r="AV1581" s="156"/>
      <c r="AW1581" s="162"/>
      <c r="AX1581" s="163"/>
      <c r="AY1581" s="164">
        <v>4</v>
      </c>
      <c r="AZ1581" s="159">
        <v>0</v>
      </c>
      <c r="BA1581" s="161"/>
      <c r="BB1581" s="165"/>
      <c r="BF1581" s="155"/>
      <c r="BG1581" s="154" t="s">
        <v>5987</v>
      </c>
    </row>
    <row r="1582" spans="1:59" s="154" customFormat="1" ht="15" customHeight="1">
      <c r="A1582" s="153" t="s">
        <v>5693</v>
      </c>
      <c r="B1582" s="23" t="s">
        <v>5988</v>
      </c>
      <c r="C1582" s="154" t="s">
        <v>5695</v>
      </c>
      <c r="D1582" s="155">
        <v>73</v>
      </c>
      <c r="E1582" s="154">
        <v>1</v>
      </c>
      <c r="F1582" s="154" t="s">
        <v>5958</v>
      </c>
      <c r="G1582" s="154" t="s">
        <v>5989</v>
      </c>
      <c r="J1582" s="154" t="s">
        <v>31</v>
      </c>
      <c r="K1582" s="154" t="s">
        <v>2426</v>
      </c>
      <c r="N1582" s="155"/>
      <c r="O1582" s="156"/>
      <c r="P1582" s="157"/>
      <c r="Q1582" s="158"/>
      <c r="R1582" s="159"/>
      <c r="S1582" s="160"/>
      <c r="T1582" s="161"/>
      <c r="U1582" s="156"/>
      <c r="V1582" s="162"/>
      <c r="W1582" s="163"/>
      <c r="X1582" s="164"/>
      <c r="Y1582" s="159"/>
      <c r="Z1582" s="161"/>
      <c r="AA1582" s="165"/>
      <c r="AE1582" s="155"/>
      <c r="AI1582" s="154" t="s">
        <v>5989</v>
      </c>
      <c r="AL1582" s="154" t="s">
        <v>31</v>
      </c>
      <c r="AM1582" s="154" t="s">
        <v>2426</v>
      </c>
      <c r="AP1582" s="155"/>
      <c r="AQ1582" s="156"/>
      <c r="AR1582" s="157"/>
      <c r="AS1582" s="158"/>
      <c r="AT1582" s="159"/>
      <c r="AU1582" s="161"/>
      <c r="AV1582" s="156"/>
      <c r="AW1582" s="162"/>
      <c r="AX1582" s="163"/>
      <c r="AY1582" s="164">
        <v>2</v>
      </c>
      <c r="AZ1582" s="159">
        <v>0</v>
      </c>
      <c r="BA1582" s="161"/>
      <c r="BB1582" s="165"/>
      <c r="BF1582" s="155"/>
      <c r="BG1582" s="154" t="s">
        <v>5990</v>
      </c>
    </row>
    <row r="1583" spans="1:59" s="154" customFormat="1" ht="15" customHeight="1">
      <c r="A1583" s="153" t="s">
        <v>5693</v>
      </c>
      <c r="B1583" s="23" t="s">
        <v>5991</v>
      </c>
      <c r="C1583" s="154" t="s">
        <v>5695</v>
      </c>
      <c r="D1583" s="155">
        <v>74</v>
      </c>
      <c r="E1583" s="154">
        <v>1</v>
      </c>
      <c r="F1583" s="154" t="s">
        <v>5958</v>
      </c>
      <c r="G1583" s="154" t="s">
        <v>5992</v>
      </c>
      <c r="J1583" s="154" t="s">
        <v>31</v>
      </c>
      <c r="K1583" s="154" t="s">
        <v>2426</v>
      </c>
      <c r="N1583" s="155"/>
      <c r="O1583" s="156"/>
      <c r="P1583" s="157"/>
      <c r="Q1583" s="158"/>
      <c r="R1583" s="159"/>
      <c r="S1583" s="160"/>
      <c r="T1583" s="161"/>
      <c r="U1583" s="156"/>
      <c r="V1583" s="162"/>
      <c r="W1583" s="163"/>
      <c r="X1583" s="164"/>
      <c r="Y1583" s="159"/>
      <c r="Z1583" s="161"/>
      <c r="AA1583" s="165"/>
      <c r="AE1583" s="155"/>
      <c r="AI1583" s="154" t="s">
        <v>5992</v>
      </c>
      <c r="AL1583" s="154" t="s">
        <v>31</v>
      </c>
      <c r="AM1583" s="154" t="s">
        <v>2426</v>
      </c>
      <c r="AP1583" s="155"/>
      <c r="AQ1583" s="156"/>
      <c r="AR1583" s="157"/>
      <c r="AS1583" s="158"/>
      <c r="AT1583" s="159"/>
      <c r="AU1583" s="161"/>
      <c r="AV1583" s="156"/>
      <c r="AW1583" s="162"/>
      <c r="AX1583" s="163"/>
      <c r="AY1583" s="164">
        <v>3</v>
      </c>
      <c r="AZ1583" s="159">
        <v>0</v>
      </c>
      <c r="BA1583" s="161"/>
      <c r="BB1583" s="165"/>
      <c r="BF1583" s="155"/>
      <c r="BG1583" s="154" t="s">
        <v>5993</v>
      </c>
    </row>
    <row r="1584" spans="1:59" s="154" customFormat="1" ht="15" customHeight="1">
      <c r="A1584" s="153" t="s">
        <v>5693</v>
      </c>
      <c r="B1584" s="23" t="s">
        <v>5994</v>
      </c>
      <c r="C1584" s="154" t="s">
        <v>5695</v>
      </c>
      <c r="D1584" s="155">
        <v>75</v>
      </c>
      <c r="E1584" s="154">
        <v>1</v>
      </c>
      <c r="F1584" s="154" t="s">
        <v>5958</v>
      </c>
      <c r="G1584" s="154" t="s">
        <v>5995</v>
      </c>
      <c r="J1584" s="154" t="s">
        <v>31</v>
      </c>
      <c r="K1584" s="154" t="s">
        <v>2426</v>
      </c>
      <c r="N1584" s="155"/>
      <c r="O1584" s="156"/>
      <c r="P1584" s="157"/>
      <c r="Q1584" s="158"/>
      <c r="R1584" s="159"/>
      <c r="S1584" s="160"/>
      <c r="T1584" s="161"/>
      <c r="U1584" s="156"/>
      <c r="V1584" s="162"/>
      <c r="W1584" s="163"/>
      <c r="X1584" s="164"/>
      <c r="Y1584" s="159"/>
      <c r="Z1584" s="161"/>
      <c r="AA1584" s="165"/>
      <c r="AE1584" s="155"/>
      <c r="AI1584" s="154" t="s">
        <v>5995</v>
      </c>
      <c r="AL1584" s="154" t="s">
        <v>31</v>
      </c>
      <c r="AM1584" s="154" t="s">
        <v>2426</v>
      </c>
      <c r="AP1584" s="155"/>
      <c r="AQ1584" s="156"/>
      <c r="AR1584" s="157"/>
      <c r="AS1584" s="158"/>
      <c r="AT1584" s="159"/>
      <c r="AU1584" s="161"/>
      <c r="AV1584" s="156"/>
      <c r="AW1584" s="162"/>
      <c r="AX1584" s="163"/>
      <c r="AY1584" s="164">
        <v>3</v>
      </c>
      <c r="AZ1584" s="159" t="s">
        <v>1073</v>
      </c>
      <c r="BA1584" s="161"/>
      <c r="BB1584" s="165"/>
      <c r="BF1584" s="155"/>
      <c r="BG1584" s="154" t="s">
        <v>5996</v>
      </c>
    </row>
    <row r="1585" spans="1:59" s="154" customFormat="1" ht="15" customHeight="1">
      <c r="A1585" s="153" t="s">
        <v>5693</v>
      </c>
      <c r="B1585" s="23" t="s">
        <v>5997</v>
      </c>
      <c r="C1585" s="154" t="s">
        <v>5695</v>
      </c>
      <c r="D1585" s="155">
        <v>76</v>
      </c>
      <c r="E1585" s="154">
        <v>1</v>
      </c>
      <c r="F1585" s="154" t="s">
        <v>5958</v>
      </c>
      <c r="G1585" s="154" t="s">
        <v>2663</v>
      </c>
      <c r="J1585" s="154" t="s">
        <v>31</v>
      </c>
      <c r="K1585" s="154" t="s">
        <v>2426</v>
      </c>
      <c r="N1585" s="155"/>
      <c r="O1585" s="156"/>
      <c r="P1585" s="157"/>
      <c r="Q1585" s="158"/>
      <c r="R1585" s="159"/>
      <c r="S1585" s="160"/>
      <c r="T1585" s="161"/>
      <c r="U1585" s="156"/>
      <c r="V1585" s="162"/>
      <c r="W1585" s="163"/>
      <c r="X1585" s="164"/>
      <c r="Y1585" s="159"/>
      <c r="Z1585" s="161"/>
      <c r="AA1585" s="165"/>
      <c r="AE1585" s="155"/>
      <c r="AI1585" s="154" t="s">
        <v>2663</v>
      </c>
      <c r="AL1585" s="154" t="s">
        <v>31</v>
      </c>
      <c r="AM1585" s="154" t="s">
        <v>2426</v>
      </c>
      <c r="AP1585" s="155"/>
      <c r="AQ1585" s="156"/>
      <c r="AR1585" s="157"/>
      <c r="AS1585" s="158"/>
      <c r="AT1585" s="159"/>
      <c r="AU1585" s="161"/>
      <c r="AV1585" s="156"/>
      <c r="AW1585" s="162"/>
      <c r="AX1585" s="163"/>
      <c r="AY1585" s="164">
        <v>1</v>
      </c>
      <c r="AZ1585" s="159">
        <v>0</v>
      </c>
      <c r="BA1585" s="161"/>
      <c r="BB1585" s="165"/>
      <c r="BF1585" s="155"/>
      <c r="BG1585" s="154" t="s">
        <v>5998</v>
      </c>
    </row>
    <row r="1586" spans="1:59" s="154" customFormat="1" ht="15" customHeight="1">
      <c r="A1586" s="153" t="s">
        <v>5693</v>
      </c>
      <c r="B1586" s="23" t="s">
        <v>5999</v>
      </c>
      <c r="C1586" s="154" t="s">
        <v>5695</v>
      </c>
      <c r="D1586" s="155">
        <v>77</v>
      </c>
      <c r="E1586" s="154">
        <v>1</v>
      </c>
      <c r="F1586" s="154" t="s">
        <v>5958</v>
      </c>
      <c r="G1586" s="154" t="s">
        <v>6000</v>
      </c>
      <c r="J1586" s="154" t="s">
        <v>31</v>
      </c>
      <c r="K1586" s="154" t="s">
        <v>2426</v>
      </c>
      <c r="N1586" s="155"/>
      <c r="O1586" s="156"/>
      <c r="P1586" s="157"/>
      <c r="Q1586" s="158"/>
      <c r="R1586" s="159"/>
      <c r="S1586" s="160"/>
      <c r="T1586" s="161"/>
      <c r="U1586" s="156"/>
      <c r="V1586" s="162"/>
      <c r="W1586" s="163"/>
      <c r="X1586" s="164"/>
      <c r="Y1586" s="159"/>
      <c r="Z1586" s="161"/>
      <c r="AA1586" s="165"/>
      <c r="AE1586" s="155"/>
      <c r="AI1586" s="154" t="s">
        <v>6000</v>
      </c>
      <c r="AL1586" s="154" t="s">
        <v>31</v>
      </c>
      <c r="AM1586" s="154" t="s">
        <v>2426</v>
      </c>
      <c r="AP1586" s="155"/>
      <c r="AQ1586" s="156"/>
      <c r="AR1586" s="157"/>
      <c r="AS1586" s="158"/>
      <c r="AT1586" s="159"/>
      <c r="AU1586" s="161"/>
      <c r="AV1586" s="156"/>
      <c r="AW1586" s="162"/>
      <c r="AX1586" s="163"/>
      <c r="AY1586" s="164">
        <v>4</v>
      </c>
      <c r="AZ1586" s="159" t="s">
        <v>1073</v>
      </c>
      <c r="BA1586" s="161"/>
      <c r="BB1586" s="165"/>
      <c r="BF1586" s="155"/>
      <c r="BG1586" s="154" t="s">
        <v>6001</v>
      </c>
    </row>
    <row r="1587" spans="1:59" s="154" customFormat="1" ht="15" customHeight="1">
      <c r="A1587" s="153" t="s">
        <v>5693</v>
      </c>
      <c r="B1587" s="23" t="s">
        <v>6002</v>
      </c>
      <c r="C1587" s="154" t="s">
        <v>5695</v>
      </c>
      <c r="D1587" s="155">
        <v>78</v>
      </c>
      <c r="E1587" s="154">
        <v>1</v>
      </c>
      <c r="F1587" s="154" t="s">
        <v>5958</v>
      </c>
      <c r="G1587" s="154" t="s">
        <v>3012</v>
      </c>
      <c r="J1587" s="154" t="s">
        <v>31</v>
      </c>
      <c r="K1587" s="154" t="s">
        <v>2426</v>
      </c>
      <c r="N1587" s="155"/>
      <c r="O1587" s="156"/>
      <c r="P1587" s="157"/>
      <c r="Q1587" s="158"/>
      <c r="R1587" s="159"/>
      <c r="S1587" s="160"/>
      <c r="T1587" s="161"/>
      <c r="U1587" s="156"/>
      <c r="V1587" s="162"/>
      <c r="W1587" s="163"/>
      <c r="X1587" s="164"/>
      <c r="Y1587" s="159"/>
      <c r="Z1587" s="161"/>
      <c r="AA1587" s="165"/>
      <c r="AD1587" s="154" t="s">
        <v>6003</v>
      </c>
      <c r="AE1587" s="155"/>
      <c r="AI1587" s="154" t="s">
        <v>3012</v>
      </c>
      <c r="AL1587" s="154" t="s">
        <v>31</v>
      </c>
      <c r="AM1587" s="154" t="s">
        <v>2426</v>
      </c>
      <c r="AP1587" s="155"/>
      <c r="AQ1587" s="156"/>
      <c r="AR1587" s="157"/>
      <c r="AS1587" s="158"/>
      <c r="AT1587" s="159"/>
      <c r="AU1587" s="161"/>
      <c r="AV1587" s="156"/>
      <c r="AW1587" s="162"/>
      <c r="AX1587" s="163"/>
      <c r="AY1587" s="164">
        <v>3</v>
      </c>
      <c r="AZ1587" s="159">
        <v>0</v>
      </c>
      <c r="BA1587" s="161"/>
      <c r="BB1587" s="165"/>
      <c r="BE1587" s="154" t="s">
        <v>6003</v>
      </c>
      <c r="BF1587" s="155"/>
      <c r="BG1587" s="154" t="s">
        <v>6004</v>
      </c>
    </row>
    <row r="1588" spans="1:59" s="154" customFormat="1" ht="15" customHeight="1">
      <c r="A1588" s="153" t="s">
        <v>5693</v>
      </c>
      <c r="B1588" s="23" t="s">
        <v>6005</v>
      </c>
      <c r="C1588" s="154" t="s">
        <v>5695</v>
      </c>
      <c r="D1588" s="155">
        <v>79</v>
      </c>
      <c r="E1588" s="154">
        <v>1</v>
      </c>
      <c r="F1588" s="154" t="s">
        <v>5958</v>
      </c>
      <c r="G1588" s="154" t="s">
        <v>5986</v>
      </c>
      <c r="J1588" s="154" t="s">
        <v>31</v>
      </c>
      <c r="K1588" s="154" t="s">
        <v>2426</v>
      </c>
      <c r="N1588" s="155"/>
      <c r="O1588" s="156"/>
      <c r="P1588" s="157"/>
      <c r="Q1588" s="158"/>
      <c r="R1588" s="159"/>
      <c r="S1588" s="160"/>
      <c r="T1588" s="161"/>
      <c r="U1588" s="156"/>
      <c r="V1588" s="162"/>
      <c r="W1588" s="163"/>
      <c r="X1588" s="164"/>
      <c r="Y1588" s="159"/>
      <c r="Z1588" s="161"/>
      <c r="AA1588" s="165"/>
      <c r="AD1588" s="154" t="s">
        <v>6003</v>
      </c>
      <c r="AE1588" s="155"/>
      <c r="AI1588" s="154" t="s">
        <v>5986</v>
      </c>
      <c r="AL1588" s="154" t="s">
        <v>31</v>
      </c>
      <c r="AM1588" s="154" t="s">
        <v>2426</v>
      </c>
      <c r="AP1588" s="155"/>
      <c r="AQ1588" s="156"/>
      <c r="AR1588" s="157"/>
      <c r="AS1588" s="158"/>
      <c r="AT1588" s="159"/>
      <c r="AU1588" s="161"/>
      <c r="AV1588" s="156"/>
      <c r="AW1588" s="162"/>
      <c r="AX1588" s="163"/>
      <c r="AY1588" s="164">
        <v>4</v>
      </c>
      <c r="AZ1588" s="159">
        <v>0</v>
      </c>
      <c r="BA1588" s="161"/>
      <c r="BB1588" s="165"/>
      <c r="BE1588" s="154" t="s">
        <v>6003</v>
      </c>
      <c r="BF1588" s="155"/>
      <c r="BG1588" s="154" t="s">
        <v>6006</v>
      </c>
    </row>
    <row r="1589" spans="1:59" s="154" customFormat="1" ht="15" customHeight="1">
      <c r="A1589" s="153" t="s">
        <v>5693</v>
      </c>
      <c r="B1589" s="23" t="s">
        <v>6007</v>
      </c>
      <c r="C1589" s="154" t="s">
        <v>5695</v>
      </c>
      <c r="D1589" s="155">
        <v>80</v>
      </c>
      <c r="E1589" s="154">
        <v>1</v>
      </c>
      <c r="F1589" s="154" t="s">
        <v>5958</v>
      </c>
      <c r="G1589" s="154" t="s">
        <v>5989</v>
      </c>
      <c r="J1589" s="154" t="s">
        <v>31</v>
      </c>
      <c r="K1589" s="154" t="s">
        <v>2426</v>
      </c>
      <c r="N1589" s="155"/>
      <c r="O1589" s="156"/>
      <c r="P1589" s="157"/>
      <c r="Q1589" s="158"/>
      <c r="R1589" s="159"/>
      <c r="S1589" s="160"/>
      <c r="T1589" s="161"/>
      <c r="U1589" s="156"/>
      <c r="V1589" s="162"/>
      <c r="W1589" s="163"/>
      <c r="X1589" s="164"/>
      <c r="Y1589" s="159"/>
      <c r="Z1589" s="161"/>
      <c r="AA1589" s="165"/>
      <c r="AD1589" s="154" t="s">
        <v>6003</v>
      </c>
      <c r="AE1589" s="155"/>
      <c r="AI1589" s="154" t="s">
        <v>5989</v>
      </c>
      <c r="AL1589" s="154" t="s">
        <v>31</v>
      </c>
      <c r="AM1589" s="154" t="s">
        <v>2426</v>
      </c>
      <c r="AP1589" s="155"/>
      <c r="AQ1589" s="156"/>
      <c r="AR1589" s="157"/>
      <c r="AS1589" s="158"/>
      <c r="AT1589" s="159"/>
      <c r="AU1589" s="161"/>
      <c r="AV1589" s="156"/>
      <c r="AW1589" s="162"/>
      <c r="AX1589" s="163"/>
      <c r="AY1589" s="164">
        <v>2</v>
      </c>
      <c r="AZ1589" s="159" t="s">
        <v>1073</v>
      </c>
      <c r="BA1589" s="161"/>
      <c r="BB1589" s="165"/>
      <c r="BE1589" s="154" t="s">
        <v>6003</v>
      </c>
      <c r="BF1589" s="155"/>
      <c r="BG1589" s="154" t="s">
        <v>6008</v>
      </c>
    </row>
    <row r="1590" spans="1:59" s="154" customFormat="1" ht="15" customHeight="1">
      <c r="A1590" s="153" t="s">
        <v>5693</v>
      </c>
      <c r="B1590" s="23" t="s">
        <v>6009</v>
      </c>
      <c r="C1590" s="154" t="s">
        <v>5695</v>
      </c>
      <c r="D1590" s="155">
        <v>81</v>
      </c>
      <c r="E1590" s="154">
        <v>1</v>
      </c>
      <c r="F1590" s="154" t="s">
        <v>5958</v>
      </c>
      <c r="G1590" s="154" t="s">
        <v>5992</v>
      </c>
      <c r="J1590" s="154" t="s">
        <v>31</v>
      </c>
      <c r="K1590" s="154" t="s">
        <v>2426</v>
      </c>
      <c r="N1590" s="155"/>
      <c r="O1590" s="156"/>
      <c r="P1590" s="157"/>
      <c r="Q1590" s="158"/>
      <c r="R1590" s="159"/>
      <c r="S1590" s="160"/>
      <c r="T1590" s="161"/>
      <c r="U1590" s="156"/>
      <c r="V1590" s="162"/>
      <c r="W1590" s="163"/>
      <c r="X1590" s="164"/>
      <c r="Y1590" s="159"/>
      <c r="Z1590" s="161"/>
      <c r="AA1590" s="165"/>
      <c r="AD1590" s="154" t="s">
        <v>6003</v>
      </c>
      <c r="AE1590" s="155"/>
      <c r="AI1590" s="154" t="s">
        <v>5992</v>
      </c>
      <c r="AL1590" s="154" t="s">
        <v>31</v>
      </c>
      <c r="AM1590" s="154" t="s">
        <v>2426</v>
      </c>
      <c r="AP1590" s="155"/>
      <c r="AQ1590" s="156"/>
      <c r="AR1590" s="157"/>
      <c r="AS1590" s="158"/>
      <c r="AT1590" s="159"/>
      <c r="AU1590" s="161"/>
      <c r="AV1590" s="156"/>
      <c r="AW1590" s="162"/>
      <c r="AX1590" s="163"/>
      <c r="AY1590" s="164">
        <v>3</v>
      </c>
      <c r="AZ1590" s="159" t="s">
        <v>1073</v>
      </c>
      <c r="BA1590" s="161"/>
      <c r="BB1590" s="165">
        <v>1</v>
      </c>
      <c r="BE1590" s="154" t="s">
        <v>6003</v>
      </c>
      <c r="BF1590" s="155"/>
      <c r="BG1590" s="154" t="s">
        <v>6010</v>
      </c>
    </row>
    <row r="1591" spans="1:59" s="154" customFormat="1" ht="15" customHeight="1">
      <c r="A1591" s="153" t="s">
        <v>5693</v>
      </c>
      <c r="B1591" s="23" t="s">
        <v>6011</v>
      </c>
      <c r="C1591" s="154" t="s">
        <v>5695</v>
      </c>
      <c r="D1591" s="155">
        <v>82</v>
      </c>
      <c r="E1591" s="154">
        <v>1</v>
      </c>
      <c r="F1591" s="154" t="s">
        <v>5958</v>
      </c>
      <c r="G1591" s="154" t="s">
        <v>5995</v>
      </c>
      <c r="J1591" s="154" t="s">
        <v>31</v>
      </c>
      <c r="K1591" s="154" t="s">
        <v>2426</v>
      </c>
      <c r="N1591" s="155"/>
      <c r="O1591" s="156"/>
      <c r="P1591" s="157"/>
      <c r="Q1591" s="158"/>
      <c r="R1591" s="159"/>
      <c r="S1591" s="160"/>
      <c r="T1591" s="161"/>
      <c r="U1591" s="156"/>
      <c r="V1591" s="162"/>
      <c r="W1591" s="163"/>
      <c r="X1591" s="164"/>
      <c r="Y1591" s="159"/>
      <c r="Z1591" s="161"/>
      <c r="AA1591" s="165"/>
      <c r="AD1591" s="154" t="s">
        <v>6003</v>
      </c>
      <c r="AE1591" s="155"/>
      <c r="AI1591" s="154" t="s">
        <v>5995</v>
      </c>
      <c r="AL1591" s="154" t="s">
        <v>31</v>
      </c>
      <c r="AM1591" s="154" t="s">
        <v>2426</v>
      </c>
      <c r="AP1591" s="155"/>
      <c r="AQ1591" s="156"/>
      <c r="AR1591" s="157"/>
      <c r="AS1591" s="158"/>
      <c r="AT1591" s="159"/>
      <c r="AU1591" s="161"/>
      <c r="AV1591" s="156"/>
      <c r="AW1591" s="162"/>
      <c r="AX1591" s="163"/>
      <c r="AY1591" s="164">
        <v>3</v>
      </c>
      <c r="AZ1591" s="159" t="s">
        <v>1073</v>
      </c>
      <c r="BA1591" s="161"/>
      <c r="BB1591" s="165">
        <v>1</v>
      </c>
      <c r="BE1591" s="154" t="s">
        <v>6003</v>
      </c>
      <c r="BF1591" s="155"/>
      <c r="BG1591" s="154" t="s">
        <v>6012</v>
      </c>
    </row>
    <row r="1592" spans="1:59" s="154" customFormat="1" ht="15" customHeight="1">
      <c r="A1592" s="153" t="s">
        <v>5693</v>
      </c>
      <c r="B1592" s="23" t="s">
        <v>6013</v>
      </c>
      <c r="C1592" s="154" t="s">
        <v>5695</v>
      </c>
      <c r="D1592" s="155">
        <v>83</v>
      </c>
      <c r="E1592" s="154">
        <v>1</v>
      </c>
      <c r="F1592" s="154" t="s">
        <v>5958</v>
      </c>
      <c r="G1592" s="154" t="s">
        <v>2663</v>
      </c>
      <c r="J1592" s="154" t="s">
        <v>31</v>
      </c>
      <c r="K1592" s="154" t="s">
        <v>2426</v>
      </c>
      <c r="N1592" s="155"/>
      <c r="O1592" s="156"/>
      <c r="P1592" s="157"/>
      <c r="Q1592" s="158"/>
      <c r="R1592" s="159"/>
      <c r="S1592" s="160"/>
      <c r="T1592" s="161"/>
      <c r="U1592" s="156"/>
      <c r="V1592" s="162"/>
      <c r="W1592" s="163"/>
      <c r="X1592" s="164"/>
      <c r="Y1592" s="159"/>
      <c r="Z1592" s="161"/>
      <c r="AA1592" s="165"/>
      <c r="AD1592" s="154" t="s">
        <v>6003</v>
      </c>
      <c r="AE1592" s="155"/>
      <c r="AI1592" s="154" t="s">
        <v>2663</v>
      </c>
      <c r="AL1592" s="154" t="s">
        <v>31</v>
      </c>
      <c r="AM1592" s="154" t="s">
        <v>2426</v>
      </c>
      <c r="AP1592" s="155"/>
      <c r="AQ1592" s="156"/>
      <c r="AR1592" s="157"/>
      <c r="AS1592" s="158"/>
      <c r="AT1592" s="159"/>
      <c r="AU1592" s="161"/>
      <c r="AV1592" s="156"/>
      <c r="AW1592" s="162"/>
      <c r="AX1592" s="163"/>
      <c r="AY1592" s="164">
        <v>1</v>
      </c>
      <c r="AZ1592" s="159" t="s">
        <v>1073</v>
      </c>
      <c r="BA1592" s="161"/>
      <c r="BB1592" s="165"/>
      <c r="BE1592" s="154" t="s">
        <v>6003</v>
      </c>
      <c r="BF1592" s="155"/>
      <c r="BG1592" s="154" t="s">
        <v>6014</v>
      </c>
    </row>
    <row r="1593" spans="1:59" s="154" customFormat="1" ht="15" customHeight="1">
      <c r="A1593" s="153" t="s">
        <v>5693</v>
      </c>
      <c r="B1593" s="23" t="s">
        <v>6015</v>
      </c>
      <c r="C1593" s="154" t="s">
        <v>5695</v>
      </c>
      <c r="D1593" s="155">
        <v>84</v>
      </c>
      <c r="E1593" s="154">
        <v>1</v>
      </c>
      <c r="F1593" s="154" t="s">
        <v>5958</v>
      </c>
      <c r="G1593" s="154" t="s">
        <v>6000</v>
      </c>
      <c r="J1593" s="154" t="s">
        <v>31</v>
      </c>
      <c r="K1593" s="154" t="s">
        <v>2426</v>
      </c>
      <c r="N1593" s="155"/>
      <c r="O1593" s="156"/>
      <c r="P1593" s="157"/>
      <c r="Q1593" s="158"/>
      <c r="R1593" s="159"/>
      <c r="S1593" s="160"/>
      <c r="T1593" s="161"/>
      <c r="U1593" s="156"/>
      <c r="V1593" s="162"/>
      <c r="W1593" s="163"/>
      <c r="X1593" s="164"/>
      <c r="Y1593" s="159"/>
      <c r="Z1593" s="161"/>
      <c r="AA1593" s="165"/>
      <c r="AD1593" s="154" t="s">
        <v>6003</v>
      </c>
      <c r="AE1593" s="155"/>
      <c r="AI1593" s="154" t="s">
        <v>6000</v>
      </c>
      <c r="AL1593" s="154" t="s">
        <v>31</v>
      </c>
      <c r="AM1593" s="154" t="s">
        <v>2426</v>
      </c>
      <c r="AP1593" s="155"/>
      <c r="AQ1593" s="156"/>
      <c r="AR1593" s="157"/>
      <c r="AS1593" s="158"/>
      <c r="AT1593" s="159"/>
      <c r="AU1593" s="161"/>
      <c r="AV1593" s="156"/>
      <c r="AW1593" s="162"/>
      <c r="AX1593" s="163"/>
      <c r="AY1593" s="164">
        <v>4</v>
      </c>
      <c r="AZ1593" s="159" t="s">
        <v>1111</v>
      </c>
      <c r="BA1593" s="161"/>
      <c r="BB1593" s="165">
        <v>2</v>
      </c>
      <c r="BE1593" s="154" t="s">
        <v>6003</v>
      </c>
      <c r="BF1593" s="155"/>
      <c r="BG1593" s="154" t="s">
        <v>6016</v>
      </c>
    </row>
    <row r="1594" spans="1:59" s="154" customFormat="1" ht="15" customHeight="1">
      <c r="A1594" s="153" t="s">
        <v>5693</v>
      </c>
      <c r="B1594" s="23" t="s">
        <v>6017</v>
      </c>
      <c r="C1594" s="154" t="s">
        <v>5695</v>
      </c>
      <c r="D1594" s="155">
        <v>85</v>
      </c>
      <c r="E1594" s="154">
        <v>1</v>
      </c>
      <c r="F1594" s="154" t="s">
        <v>5958</v>
      </c>
      <c r="G1594" s="154" t="s">
        <v>6018</v>
      </c>
      <c r="H1594" s="154" t="s">
        <v>6019</v>
      </c>
      <c r="I1594" s="154" t="s">
        <v>223</v>
      </c>
      <c r="J1594" s="154" t="s">
        <v>29</v>
      </c>
      <c r="K1594" s="154" t="s">
        <v>2426</v>
      </c>
      <c r="N1594" s="155"/>
      <c r="O1594" s="156"/>
      <c r="P1594" s="157"/>
      <c r="Q1594" s="158">
        <v>3</v>
      </c>
      <c r="R1594" s="159">
        <v>3</v>
      </c>
      <c r="S1594" s="160"/>
      <c r="T1594" s="161">
        <v>2</v>
      </c>
      <c r="U1594" s="156"/>
      <c r="V1594" s="162">
        <v>1</v>
      </c>
      <c r="W1594" s="163">
        <v>1</v>
      </c>
      <c r="X1594" s="164"/>
      <c r="Y1594" s="159"/>
      <c r="Z1594" s="161"/>
      <c r="AA1594" s="165">
        <v>2</v>
      </c>
      <c r="AD1594" s="154" t="s">
        <v>6020</v>
      </c>
      <c r="AE1594" s="155"/>
      <c r="AF1594" s="154" t="s">
        <v>6021</v>
      </c>
      <c r="AI1594" s="154" t="s">
        <v>6022</v>
      </c>
      <c r="AL1594" s="154" t="s">
        <v>2702</v>
      </c>
      <c r="AM1594" s="154" t="s">
        <v>2426</v>
      </c>
      <c r="AP1594" s="155"/>
      <c r="AQ1594" s="156"/>
      <c r="AR1594" s="157"/>
      <c r="AS1594" s="158"/>
      <c r="AT1594" s="159"/>
      <c r="AU1594" s="161"/>
      <c r="AV1594" s="156"/>
      <c r="AW1594" s="162"/>
      <c r="AX1594" s="163"/>
      <c r="AY1594" s="164"/>
      <c r="AZ1594" s="159"/>
      <c r="BA1594" s="161"/>
      <c r="BB1594" s="165"/>
      <c r="BF1594" s="155"/>
      <c r="BG1594" s="154" t="s">
        <v>6023</v>
      </c>
    </row>
    <row r="1595" spans="1:59" s="154" customFormat="1" ht="15" customHeight="1">
      <c r="A1595" s="153" t="s">
        <v>5693</v>
      </c>
      <c r="B1595" s="30" t="s">
        <v>6024</v>
      </c>
      <c r="C1595" s="154" t="s">
        <v>5695</v>
      </c>
      <c r="D1595" s="155">
        <v>86</v>
      </c>
      <c r="E1595" s="154">
        <v>1</v>
      </c>
      <c r="F1595" s="154" t="s">
        <v>6105</v>
      </c>
      <c r="G1595" s="154" t="s">
        <v>6025</v>
      </c>
      <c r="H1595" s="154" t="s">
        <v>6026</v>
      </c>
      <c r="I1595" s="154" t="s">
        <v>223</v>
      </c>
      <c r="J1595" s="154" t="s">
        <v>29</v>
      </c>
      <c r="K1595" s="154" t="s">
        <v>2426</v>
      </c>
      <c r="N1595" s="155"/>
      <c r="O1595" s="156"/>
      <c r="P1595" s="157"/>
      <c r="Q1595" s="158">
        <v>3</v>
      </c>
      <c r="R1595" s="159">
        <v>3</v>
      </c>
      <c r="S1595" s="160"/>
      <c r="T1595" s="161">
        <v>5</v>
      </c>
      <c r="U1595" s="156"/>
      <c r="V1595" s="162">
        <v>1</v>
      </c>
      <c r="W1595" s="163">
        <v>1</v>
      </c>
      <c r="X1595" s="164"/>
      <c r="Y1595" s="159"/>
      <c r="Z1595" s="161"/>
      <c r="AA1595" s="165"/>
      <c r="AD1595" s="154" t="s">
        <v>6027</v>
      </c>
      <c r="AE1595" s="155"/>
      <c r="AF1595" s="154" t="s">
        <v>6028</v>
      </c>
      <c r="AP1595" s="155"/>
      <c r="AQ1595" s="156"/>
      <c r="AR1595" s="157"/>
      <c r="AS1595" s="158"/>
      <c r="AT1595" s="159"/>
      <c r="AU1595" s="161"/>
      <c r="AV1595" s="156"/>
      <c r="AW1595" s="162"/>
      <c r="AX1595" s="163"/>
      <c r="AY1595" s="164"/>
      <c r="AZ1595" s="159"/>
      <c r="BA1595" s="161"/>
      <c r="BB1595" s="165"/>
      <c r="BF1595" s="155"/>
    </row>
    <row r="1596" spans="1:59" s="154" customFormat="1" ht="15" customHeight="1">
      <c r="A1596" s="153" t="s">
        <v>5693</v>
      </c>
      <c r="B1596" s="23" t="s">
        <v>6029</v>
      </c>
      <c r="C1596" s="154" t="s">
        <v>5695</v>
      </c>
      <c r="D1596" s="155">
        <v>87</v>
      </c>
      <c r="E1596" s="154">
        <v>2</v>
      </c>
      <c r="F1596" s="154" t="s">
        <v>6105</v>
      </c>
      <c r="G1596" s="154" t="s">
        <v>6030</v>
      </c>
      <c r="J1596" s="154" t="s">
        <v>28</v>
      </c>
      <c r="K1596" s="154" t="s">
        <v>2426</v>
      </c>
      <c r="N1596" s="155"/>
      <c r="O1596" s="156"/>
      <c r="P1596" s="157"/>
      <c r="Q1596" s="158"/>
      <c r="R1596" s="159"/>
      <c r="S1596" s="160"/>
      <c r="T1596" s="161"/>
      <c r="U1596" s="156"/>
      <c r="V1596" s="162"/>
      <c r="W1596" s="163"/>
      <c r="X1596" s="164"/>
      <c r="Y1596" s="159"/>
      <c r="Z1596" s="161"/>
      <c r="AA1596" s="165"/>
      <c r="AD1596" s="154" t="s">
        <v>6031</v>
      </c>
      <c r="AE1596" s="155"/>
      <c r="AF1596" s="154" t="s">
        <v>6032</v>
      </c>
      <c r="AP1596" s="155"/>
      <c r="AQ1596" s="156"/>
      <c r="AR1596" s="157"/>
      <c r="AS1596" s="158"/>
      <c r="AT1596" s="159"/>
      <c r="AU1596" s="161"/>
      <c r="AV1596" s="156"/>
      <c r="AW1596" s="162"/>
      <c r="AX1596" s="163"/>
      <c r="AY1596" s="164"/>
      <c r="AZ1596" s="159"/>
      <c r="BA1596" s="161"/>
      <c r="BB1596" s="165"/>
      <c r="BF1596" s="155"/>
    </row>
    <row r="1597" spans="1:59" s="154" customFormat="1" ht="15" customHeight="1">
      <c r="A1597" s="153" t="s">
        <v>5693</v>
      </c>
      <c r="B1597" s="23" t="s">
        <v>6033</v>
      </c>
      <c r="C1597" s="154" t="s">
        <v>5695</v>
      </c>
      <c r="D1597" s="155">
        <v>88</v>
      </c>
      <c r="E1597" s="154">
        <v>1</v>
      </c>
      <c r="F1597" s="154" t="s">
        <v>6106</v>
      </c>
      <c r="G1597" s="154" t="s">
        <v>6034</v>
      </c>
      <c r="J1597" s="154" t="s">
        <v>29</v>
      </c>
      <c r="K1597" s="154" t="s">
        <v>2426</v>
      </c>
      <c r="N1597" s="155"/>
      <c r="O1597" s="156"/>
      <c r="P1597" s="157"/>
      <c r="Q1597" s="158">
        <v>5</v>
      </c>
      <c r="R1597" s="159">
        <v>2</v>
      </c>
      <c r="S1597" s="160"/>
      <c r="T1597" s="161">
        <v>7</v>
      </c>
      <c r="U1597" s="156"/>
      <c r="V1597" s="162"/>
      <c r="W1597" s="163">
        <v>2</v>
      </c>
      <c r="X1597" s="164"/>
      <c r="Y1597" s="159"/>
      <c r="Z1597" s="161"/>
      <c r="AA1597" s="165">
        <v>2</v>
      </c>
      <c r="AD1597" s="154" t="s">
        <v>1794</v>
      </c>
      <c r="AE1597" s="155"/>
      <c r="AF1597" s="154" t="s">
        <v>6035</v>
      </c>
      <c r="AP1597" s="155"/>
      <c r="AQ1597" s="156"/>
      <c r="AR1597" s="157"/>
      <c r="AS1597" s="158"/>
      <c r="AT1597" s="159"/>
      <c r="AU1597" s="161"/>
      <c r="AV1597" s="156"/>
      <c r="AW1597" s="162"/>
      <c r="AX1597" s="163"/>
      <c r="AY1597" s="164"/>
      <c r="AZ1597" s="159"/>
      <c r="BA1597" s="161"/>
      <c r="BB1597" s="165"/>
      <c r="BF1597" s="155"/>
    </row>
    <row r="1598" spans="1:59" ht="15" customHeight="1">
      <c r="A1598" s="153" t="s">
        <v>5693</v>
      </c>
      <c r="B1598" s="23" t="s">
        <v>6036</v>
      </c>
      <c r="C1598" s="154" t="s">
        <v>5695</v>
      </c>
      <c r="D1598" s="24">
        <v>89</v>
      </c>
      <c r="E1598" s="23">
        <v>3</v>
      </c>
      <c r="F1598" s="154" t="s">
        <v>6106</v>
      </c>
      <c r="G1598" s="28" t="s">
        <v>6037</v>
      </c>
      <c r="J1598" s="23" t="s">
        <v>28</v>
      </c>
      <c r="K1598" s="28" t="s">
        <v>2426</v>
      </c>
      <c r="N1598" s="147"/>
      <c r="O1598" s="118"/>
      <c r="P1598" s="119"/>
      <c r="Q1598" s="120"/>
      <c r="R1598" s="29"/>
      <c r="S1598" s="135"/>
      <c r="T1598" s="122"/>
      <c r="U1598" s="118"/>
      <c r="V1598" s="123"/>
      <c r="W1598" s="124"/>
      <c r="X1598" s="125"/>
      <c r="Y1598" s="29"/>
      <c r="Z1598" s="122"/>
      <c r="AA1598" s="126"/>
      <c r="AB1598" s="148"/>
      <c r="AD1598" s="23" t="s">
        <v>4913</v>
      </c>
      <c r="AF1598" s="23" t="s">
        <v>6038</v>
      </c>
      <c r="AI1598" s="28"/>
      <c r="AM1598" s="28"/>
      <c r="AP1598" s="24"/>
      <c r="AQ1598" s="118"/>
      <c r="AR1598" s="119"/>
      <c r="AS1598" s="120"/>
      <c r="AT1598" s="29"/>
      <c r="AU1598" s="122"/>
      <c r="AV1598" s="118"/>
      <c r="AW1598" s="123"/>
      <c r="AX1598" s="124"/>
      <c r="AY1598" s="125"/>
      <c r="AZ1598" s="29"/>
      <c r="BA1598" s="122"/>
      <c r="BB1598" s="126"/>
    </row>
    <row r="1599" spans="1:59" ht="15" customHeight="1">
      <c r="A1599" s="153" t="s">
        <v>5693</v>
      </c>
      <c r="B1599" s="30" t="s">
        <v>6039</v>
      </c>
      <c r="C1599" s="154" t="s">
        <v>5695</v>
      </c>
      <c r="D1599" s="24">
        <v>90</v>
      </c>
      <c r="E1599" s="23">
        <v>3</v>
      </c>
      <c r="F1599" s="154" t="s">
        <v>6107</v>
      </c>
      <c r="G1599" s="23" t="s">
        <v>6040</v>
      </c>
      <c r="J1599" s="23" t="s">
        <v>29</v>
      </c>
      <c r="K1599" s="23" t="s">
        <v>2426</v>
      </c>
      <c r="N1599" s="147"/>
      <c r="O1599" s="118"/>
      <c r="P1599" s="119"/>
      <c r="Q1599" s="120">
        <v>2</v>
      </c>
      <c r="R1599" s="29">
        <v>2</v>
      </c>
      <c r="S1599" s="135"/>
      <c r="T1599" s="122">
        <v>2</v>
      </c>
      <c r="U1599" s="118"/>
      <c r="V1599" s="123"/>
      <c r="W1599" s="124">
        <v>1</v>
      </c>
      <c r="X1599" s="125"/>
      <c r="Y1599" s="29"/>
      <c r="Z1599" s="122"/>
      <c r="AA1599" s="126"/>
      <c r="AB1599" s="148"/>
      <c r="AD1599" s="23" t="s">
        <v>6041</v>
      </c>
      <c r="AF1599" s="23" t="s">
        <v>6042</v>
      </c>
      <c r="AP1599" s="24"/>
      <c r="AQ1599" s="118"/>
      <c r="AR1599" s="119"/>
      <c r="AS1599" s="120"/>
      <c r="AT1599" s="29"/>
      <c r="AU1599" s="122"/>
      <c r="AV1599" s="118"/>
      <c r="AW1599" s="123"/>
      <c r="AX1599" s="124"/>
      <c r="AY1599" s="125"/>
      <c r="AZ1599" s="29"/>
      <c r="BA1599" s="122"/>
      <c r="BB1599" s="126"/>
    </row>
    <row r="1600" spans="1:59" ht="15" customHeight="1">
      <c r="A1600" s="153" t="s">
        <v>5693</v>
      </c>
      <c r="B1600" s="23" t="s">
        <v>6043</v>
      </c>
      <c r="C1600" s="154" t="s">
        <v>5695</v>
      </c>
      <c r="D1600" s="24">
        <v>91</v>
      </c>
      <c r="E1600" s="23">
        <v>1</v>
      </c>
      <c r="F1600" s="154" t="s">
        <v>6107</v>
      </c>
      <c r="G1600" s="23" t="s">
        <v>6044</v>
      </c>
      <c r="J1600" s="23" t="s">
        <v>29</v>
      </c>
      <c r="K1600" s="23" t="s">
        <v>2426</v>
      </c>
      <c r="N1600" s="147"/>
      <c r="O1600" s="118"/>
      <c r="P1600" s="119"/>
      <c r="Q1600" s="120">
        <v>2</v>
      </c>
      <c r="R1600" s="29">
        <v>2</v>
      </c>
      <c r="S1600" s="135"/>
      <c r="T1600" s="122">
        <v>3</v>
      </c>
      <c r="U1600" s="118"/>
      <c r="V1600" s="123">
        <v>2</v>
      </c>
      <c r="W1600" s="124"/>
      <c r="X1600" s="125"/>
      <c r="Y1600" s="29"/>
      <c r="Z1600" s="122"/>
      <c r="AA1600" s="126"/>
      <c r="AB1600" s="148"/>
      <c r="AD1600" s="23" t="s">
        <v>6041</v>
      </c>
      <c r="AF1600" s="23" t="s">
        <v>6045</v>
      </c>
      <c r="AP1600" s="24"/>
      <c r="AQ1600" s="118"/>
      <c r="AR1600" s="119"/>
      <c r="AS1600" s="120"/>
      <c r="AT1600" s="29"/>
      <c r="AU1600" s="122"/>
      <c r="AV1600" s="118"/>
      <c r="AW1600" s="123"/>
      <c r="AX1600" s="124"/>
      <c r="AY1600" s="125"/>
      <c r="AZ1600" s="29"/>
      <c r="BA1600" s="122"/>
      <c r="BB1600" s="126"/>
    </row>
    <row r="1601" spans="1:58" ht="15" customHeight="1">
      <c r="A1601" s="153" t="s">
        <v>5693</v>
      </c>
      <c r="B1601" s="23" t="s">
        <v>6046</v>
      </c>
      <c r="C1601" s="154" t="s">
        <v>5695</v>
      </c>
      <c r="D1601" s="24">
        <v>92</v>
      </c>
      <c r="E1601" s="23">
        <v>3</v>
      </c>
      <c r="F1601" s="154" t="s">
        <v>6108</v>
      </c>
      <c r="G1601" s="23" t="s">
        <v>6047</v>
      </c>
      <c r="J1601" s="23" t="s">
        <v>28</v>
      </c>
      <c r="K1601" s="23" t="s">
        <v>2426</v>
      </c>
      <c r="N1601" s="147"/>
      <c r="O1601" s="118"/>
      <c r="P1601" s="119"/>
      <c r="Q1601" s="120"/>
      <c r="R1601" s="29"/>
      <c r="S1601" s="135"/>
      <c r="T1601" s="122"/>
      <c r="U1601" s="118"/>
      <c r="V1601" s="123"/>
      <c r="W1601" s="124"/>
      <c r="X1601" s="125"/>
      <c r="Y1601" s="29"/>
      <c r="Z1601" s="122"/>
      <c r="AA1601" s="126"/>
      <c r="AB1601" s="148"/>
      <c r="AD1601" s="23" t="s">
        <v>439</v>
      </c>
      <c r="AF1601" s="23" t="s">
        <v>6048</v>
      </c>
      <c r="AP1601" s="24"/>
      <c r="AQ1601" s="118"/>
      <c r="AR1601" s="119"/>
      <c r="AS1601" s="120"/>
      <c r="AT1601" s="29"/>
      <c r="AU1601" s="122"/>
      <c r="AV1601" s="118"/>
      <c r="AW1601" s="123"/>
      <c r="AX1601" s="124"/>
      <c r="AY1601" s="125"/>
      <c r="AZ1601" s="29"/>
      <c r="BA1601" s="122"/>
      <c r="BB1601" s="126"/>
    </row>
    <row r="1602" spans="1:58" ht="15" customHeight="1">
      <c r="A1602" s="153" t="s">
        <v>5693</v>
      </c>
      <c r="B1602" s="23" t="s">
        <v>6049</v>
      </c>
      <c r="C1602" s="154" t="s">
        <v>5695</v>
      </c>
      <c r="D1602" s="24">
        <v>93</v>
      </c>
      <c r="E1602" s="23">
        <v>2</v>
      </c>
      <c r="F1602" s="154" t="s">
        <v>6108</v>
      </c>
      <c r="G1602" s="23" t="s">
        <v>6050</v>
      </c>
      <c r="J1602" s="23" t="s">
        <v>28</v>
      </c>
      <c r="K1602" s="23" t="s">
        <v>2426</v>
      </c>
      <c r="N1602" s="147"/>
      <c r="O1602" s="118"/>
      <c r="P1602" s="119"/>
      <c r="Q1602" s="120"/>
      <c r="R1602" s="29"/>
      <c r="S1602" s="135"/>
      <c r="T1602" s="122"/>
      <c r="U1602" s="118"/>
      <c r="V1602" s="123"/>
      <c r="W1602" s="124"/>
      <c r="X1602" s="125"/>
      <c r="Y1602" s="29"/>
      <c r="Z1602" s="122"/>
      <c r="AA1602" s="126"/>
      <c r="AB1602" s="148"/>
      <c r="AD1602" s="23" t="s">
        <v>486</v>
      </c>
      <c r="AF1602" s="23" t="s">
        <v>6051</v>
      </c>
      <c r="AP1602" s="24"/>
      <c r="AQ1602" s="118"/>
      <c r="AR1602" s="119"/>
      <c r="AS1602" s="120"/>
      <c r="AT1602" s="29"/>
      <c r="AU1602" s="122"/>
      <c r="AV1602" s="118"/>
      <c r="AW1602" s="123"/>
      <c r="AX1602" s="124"/>
      <c r="AY1602" s="125"/>
      <c r="AZ1602" s="29"/>
      <c r="BA1602" s="122"/>
      <c r="BB1602" s="126"/>
    </row>
    <row r="1603" spans="1:58" s="154" customFormat="1" ht="15" customHeight="1">
      <c r="A1603" s="153" t="s">
        <v>5693</v>
      </c>
      <c r="B1603" s="23" t="s">
        <v>6052</v>
      </c>
      <c r="C1603" s="154" t="s">
        <v>5695</v>
      </c>
      <c r="D1603" s="155">
        <v>94</v>
      </c>
      <c r="E1603" s="154">
        <v>2</v>
      </c>
      <c r="F1603" s="154" t="s">
        <v>6108</v>
      </c>
      <c r="G1603" s="171" t="s">
        <v>6053</v>
      </c>
      <c r="J1603" s="154" t="s">
        <v>28</v>
      </c>
      <c r="K1603" s="171" t="s">
        <v>2426</v>
      </c>
      <c r="N1603" s="155"/>
      <c r="O1603" s="156"/>
      <c r="P1603" s="157"/>
      <c r="Q1603" s="158"/>
      <c r="R1603" s="159"/>
      <c r="S1603" s="160"/>
      <c r="T1603" s="161"/>
      <c r="U1603" s="156"/>
      <c r="V1603" s="162"/>
      <c r="W1603" s="163"/>
      <c r="X1603" s="164"/>
      <c r="Y1603" s="159"/>
      <c r="Z1603" s="161"/>
      <c r="AA1603" s="165"/>
      <c r="AD1603" s="154" t="s">
        <v>486</v>
      </c>
      <c r="AE1603" s="155"/>
      <c r="AF1603" s="154" t="s">
        <v>6054</v>
      </c>
      <c r="AI1603" s="171"/>
      <c r="AM1603" s="171"/>
      <c r="AP1603" s="155"/>
      <c r="AQ1603" s="156"/>
      <c r="AR1603" s="157"/>
      <c r="AS1603" s="158"/>
      <c r="AT1603" s="159"/>
      <c r="AU1603" s="161"/>
      <c r="AV1603" s="156"/>
      <c r="AW1603" s="162"/>
      <c r="AX1603" s="163"/>
      <c r="AY1603" s="164"/>
      <c r="AZ1603" s="159"/>
      <c r="BA1603" s="161"/>
      <c r="BB1603" s="165"/>
      <c r="BF1603" s="155"/>
    </row>
    <row r="1604" spans="1:58" s="154" customFormat="1" ht="15" customHeight="1">
      <c r="A1604" s="153" t="s">
        <v>5693</v>
      </c>
      <c r="B1604" s="23" t="s">
        <v>6055</v>
      </c>
      <c r="C1604" s="154" t="s">
        <v>5695</v>
      </c>
      <c r="D1604" s="155">
        <v>95</v>
      </c>
      <c r="E1604" s="154">
        <v>3</v>
      </c>
      <c r="F1604" s="154" t="s">
        <v>6109</v>
      </c>
      <c r="G1604" s="154" t="s">
        <v>6056</v>
      </c>
      <c r="J1604" s="154" t="s">
        <v>29</v>
      </c>
      <c r="K1604" s="154" t="s">
        <v>2426</v>
      </c>
      <c r="N1604" s="155"/>
      <c r="O1604" s="156"/>
      <c r="P1604" s="157"/>
      <c r="Q1604" s="158">
        <v>3</v>
      </c>
      <c r="R1604" s="159">
        <v>2</v>
      </c>
      <c r="S1604" s="160"/>
      <c r="T1604" s="161">
        <v>1</v>
      </c>
      <c r="U1604" s="156"/>
      <c r="V1604" s="162"/>
      <c r="W1604" s="163">
        <v>1</v>
      </c>
      <c r="X1604" s="164"/>
      <c r="Y1604" s="159"/>
      <c r="Z1604" s="161"/>
      <c r="AA1604" s="165"/>
      <c r="AD1604" s="154" t="s">
        <v>704</v>
      </c>
      <c r="AE1604" s="155"/>
      <c r="AF1604" s="154" t="s">
        <v>6057</v>
      </c>
      <c r="AP1604" s="155"/>
      <c r="AQ1604" s="156"/>
      <c r="AR1604" s="157"/>
      <c r="AS1604" s="158"/>
      <c r="AT1604" s="159"/>
      <c r="AU1604" s="161"/>
      <c r="AV1604" s="156"/>
      <c r="AW1604" s="162"/>
      <c r="AX1604" s="163"/>
      <c r="AY1604" s="164"/>
      <c r="AZ1604" s="159"/>
      <c r="BA1604" s="161"/>
      <c r="BB1604" s="165"/>
      <c r="BF1604" s="155"/>
    </row>
    <row r="1605" spans="1:58" s="154" customFormat="1" ht="15" customHeight="1">
      <c r="A1605" s="153" t="s">
        <v>5693</v>
      </c>
      <c r="B1605" s="23" t="s">
        <v>6058</v>
      </c>
      <c r="C1605" s="154" t="s">
        <v>5695</v>
      </c>
      <c r="D1605" s="155">
        <v>96</v>
      </c>
      <c r="E1605" s="154">
        <v>1</v>
      </c>
      <c r="F1605" s="154" t="s">
        <v>6109</v>
      </c>
      <c r="G1605" s="154" t="s">
        <v>6059</v>
      </c>
      <c r="J1605" s="154" t="s">
        <v>29</v>
      </c>
      <c r="K1605" s="154" t="s">
        <v>2426</v>
      </c>
      <c r="N1605" s="155"/>
      <c r="O1605" s="156"/>
      <c r="P1605" s="157"/>
      <c r="Q1605" s="158">
        <v>4</v>
      </c>
      <c r="R1605" s="159">
        <v>3</v>
      </c>
      <c r="S1605" s="160"/>
      <c r="T1605" s="161">
        <v>2</v>
      </c>
      <c r="U1605" s="156"/>
      <c r="V1605" s="162">
        <v>1</v>
      </c>
      <c r="W1605" s="163">
        <v>1</v>
      </c>
      <c r="X1605" s="164"/>
      <c r="Y1605" s="159"/>
      <c r="Z1605" s="161"/>
      <c r="AA1605" s="165"/>
      <c r="AD1605" s="154" t="s">
        <v>704</v>
      </c>
      <c r="AE1605" s="155"/>
      <c r="AF1605" s="154" t="s">
        <v>6060</v>
      </c>
      <c r="AP1605" s="155"/>
      <c r="AQ1605" s="156"/>
      <c r="AR1605" s="157"/>
      <c r="AS1605" s="158"/>
      <c r="AT1605" s="159"/>
      <c r="AU1605" s="161"/>
      <c r="AV1605" s="156"/>
      <c r="AW1605" s="162"/>
      <c r="AX1605" s="163"/>
      <c r="AY1605" s="164"/>
      <c r="AZ1605" s="159"/>
      <c r="BA1605" s="161"/>
      <c r="BB1605" s="165"/>
      <c r="BF1605" s="155"/>
    </row>
    <row r="1606" spans="1:58" s="154" customFormat="1" ht="15" customHeight="1">
      <c r="A1606" s="153" t="s">
        <v>5693</v>
      </c>
      <c r="B1606" s="23" t="s">
        <v>6061</v>
      </c>
      <c r="C1606" s="154" t="s">
        <v>5695</v>
      </c>
      <c r="D1606" s="155">
        <v>97</v>
      </c>
      <c r="E1606" s="154">
        <v>2</v>
      </c>
      <c r="F1606" s="154" t="s">
        <v>6109</v>
      </c>
      <c r="G1606" s="154" t="s">
        <v>6062</v>
      </c>
      <c r="J1606" s="154" t="s">
        <v>28</v>
      </c>
      <c r="K1606" s="154" t="s">
        <v>2426</v>
      </c>
      <c r="N1606" s="155"/>
      <c r="O1606" s="156"/>
      <c r="P1606" s="157"/>
      <c r="Q1606" s="158"/>
      <c r="R1606" s="159"/>
      <c r="S1606" s="160"/>
      <c r="T1606" s="161"/>
      <c r="U1606" s="156"/>
      <c r="V1606" s="162"/>
      <c r="W1606" s="163"/>
      <c r="X1606" s="164"/>
      <c r="Y1606" s="159"/>
      <c r="Z1606" s="161"/>
      <c r="AA1606" s="165"/>
      <c r="AD1606" s="154" t="s">
        <v>1196</v>
      </c>
      <c r="AE1606" s="155"/>
      <c r="AF1606" s="154" t="s">
        <v>6063</v>
      </c>
      <c r="AP1606" s="155"/>
      <c r="AQ1606" s="156"/>
      <c r="AR1606" s="157"/>
      <c r="AS1606" s="158"/>
      <c r="AT1606" s="159"/>
      <c r="AU1606" s="161"/>
      <c r="AV1606" s="156"/>
      <c r="AW1606" s="162"/>
      <c r="AX1606" s="163"/>
      <c r="AY1606" s="164"/>
      <c r="AZ1606" s="159"/>
      <c r="BA1606" s="161"/>
      <c r="BB1606" s="165"/>
      <c r="BF1606" s="155"/>
    </row>
    <row r="1607" spans="1:58" s="154" customFormat="1" ht="15" customHeight="1">
      <c r="A1607" s="153" t="s">
        <v>5693</v>
      </c>
      <c r="B1607" s="23" t="s">
        <v>6064</v>
      </c>
      <c r="C1607" s="154" t="s">
        <v>5695</v>
      </c>
      <c r="D1607" s="155">
        <v>98</v>
      </c>
      <c r="E1607" s="154">
        <v>2</v>
      </c>
      <c r="F1607" s="154" t="s">
        <v>6110</v>
      </c>
      <c r="G1607" s="154" t="s">
        <v>6065</v>
      </c>
      <c r="J1607" s="154" t="s">
        <v>28</v>
      </c>
      <c r="K1607" s="154" t="s">
        <v>2426</v>
      </c>
      <c r="N1607" s="155"/>
      <c r="O1607" s="156"/>
      <c r="P1607" s="157"/>
      <c r="Q1607" s="158"/>
      <c r="R1607" s="159"/>
      <c r="S1607" s="160"/>
      <c r="T1607" s="161"/>
      <c r="U1607" s="156"/>
      <c r="V1607" s="162"/>
      <c r="W1607" s="163"/>
      <c r="X1607" s="164"/>
      <c r="Y1607" s="159"/>
      <c r="Z1607" s="161"/>
      <c r="AA1607" s="165"/>
      <c r="AD1607" s="154" t="s">
        <v>439</v>
      </c>
      <c r="AE1607" s="155"/>
      <c r="AF1607" s="154" t="s">
        <v>6066</v>
      </c>
      <c r="AP1607" s="155"/>
      <c r="AQ1607" s="156"/>
      <c r="AR1607" s="157"/>
      <c r="AS1607" s="158"/>
      <c r="AT1607" s="159"/>
      <c r="AU1607" s="161"/>
      <c r="AV1607" s="156"/>
      <c r="AW1607" s="162"/>
      <c r="AX1607" s="163"/>
      <c r="AY1607" s="164"/>
      <c r="AZ1607" s="159"/>
      <c r="BA1607" s="161"/>
      <c r="BB1607" s="165"/>
      <c r="BF1607" s="155"/>
    </row>
    <row r="1608" spans="1:58" s="154" customFormat="1" ht="15" customHeight="1">
      <c r="A1608" s="153" t="s">
        <v>5693</v>
      </c>
      <c r="B1608" s="23" t="s">
        <v>6067</v>
      </c>
      <c r="C1608" s="154" t="s">
        <v>5695</v>
      </c>
      <c r="D1608" s="155">
        <v>99</v>
      </c>
      <c r="E1608" s="154">
        <v>3</v>
      </c>
      <c r="F1608" s="154" t="s">
        <v>6110</v>
      </c>
      <c r="G1608" s="154" t="s">
        <v>6068</v>
      </c>
      <c r="J1608" s="154" t="s">
        <v>28</v>
      </c>
      <c r="K1608" s="171" t="s">
        <v>2426</v>
      </c>
      <c r="N1608" s="155"/>
      <c r="O1608" s="156"/>
      <c r="P1608" s="157"/>
      <c r="Q1608" s="158"/>
      <c r="R1608" s="159"/>
      <c r="S1608" s="160"/>
      <c r="T1608" s="161"/>
      <c r="U1608" s="156"/>
      <c r="V1608" s="162"/>
      <c r="W1608" s="163"/>
      <c r="X1608" s="164"/>
      <c r="Y1608" s="159"/>
      <c r="Z1608" s="161"/>
      <c r="AA1608" s="165"/>
      <c r="AD1608" s="154" t="s">
        <v>439</v>
      </c>
      <c r="AE1608" s="155"/>
      <c r="AF1608" s="154" t="s">
        <v>6069</v>
      </c>
      <c r="AP1608" s="155"/>
      <c r="AQ1608" s="156"/>
      <c r="AR1608" s="157"/>
      <c r="AS1608" s="158"/>
      <c r="AT1608" s="159"/>
      <c r="AU1608" s="161"/>
      <c r="AV1608" s="156"/>
      <c r="AW1608" s="162"/>
      <c r="AX1608" s="163"/>
      <c r="AY1608" s="164"/>
      <c r="AZ1608" s="159"/>
      <c r="BA1608" s="161"/>
      <c r="BB1608" s="165"/>
      <c r="BF1608" s="155"/>
    </row>
    <row r="1609" spans="1:58" s="154" customFormat="1" ht="15" customHeight="1">
      <c r="A1609" s="153" t="s">
        <v>5693</v>
      </c>
      <c r="B1609" s="23" t="s">
        <v>6070</v>
      </c>
      <c r="C1609" s="154" t="s">
        <v>5695</v>
      </c>
      <c r="D1609" s="155">
        <v>100</v>
      </c>
      <c r="E1609" s="154">
        <v>1</v>
      </c>
      <c r="F1609" s="154" t="s">
        <v>6111</v>
      </c>
      <c r="G1609" s="154" t="s">
        <v>6071</v>
      </c>
      <c r="J1609" s="154" t="s">
        <v>29</v>
      </c>
      <c r="K1609" s="171" t="s">
        <v>2426</v>
      </c>
      <c r="N1609" s="155"/>
      <c r="O1609" s="156"/>
      <c r="P1609" s="157"/>
      <c r="Q1609" s="158">
        <v>3</v>
      </c>
      <c r="R1609" s="159">
        <v>3</v>
      </c>
      <c r="S1609" s="160"/>
      <c r="T1609" s="161">
        <v>4</v>
      </c>
      <c r="U1609" s="156"/>
      <c r="V1609" s="162">
        <v>1</v>
      </c>
      <c r="W1609" s="163">
        <v>1</v>
      </c>
      <c r="X1609" s="164"/>
      <c r="Y1609" s="159"/>
      <c r="Z1609" s="161"/>
      <c r="AA1609" s="165">
        <v>1</v>
      </c>
      <c r="AD1609" s="154" t="s">
        <v>6072</v>
      </c>
      <c r="AE1609" s="155"/>
      <c r="AF1609" s="154" t="s">
        <v>6073</v>
      </c>
      <c r="AP1609" s="155"/>
      <c r="AQ1609" s="156"/>
      <c r="AR1609" s="157"/>
      <c r="AS1609" s="158"/>
      <c r="AT1609" s="159"/>
      <c r="AU1609" s="161"/>
      <c r="AV1609" s="156"/>
      <c r="AW1609" s="162"/>
      <c r="AX1609" s="163"/>
      <c r="AY1609" s="164"/>
      <c r="AZ1609" s="159"/>
      <c r="BA1609" s="161"/>
      <c r="BB1609" s="165"/>
      <c r="BF1609" s="155"/>
    </row>
    <row r="1610" spans="1:58" s="154" customFormat="1" ht="15" customHeight="1">
      <c r="A1610" s="153" t="s">
        <v>5693</v>
      </c>
      <c r="B1610" s="23" t="s">
        <v>6074</v>
      </c>
      <c r="C1610" s="154" t="s">
        <v>5695</v>
      </c>
      <c r="D1610" s="155">
        <v>101</v>
      </c>
      <c r="E1610" s="154">
        <v>2</v>
      </c>
      <c r="F1610" s="154" t="s">
        <v>6111</v>
      </c>
      <c r="G1610" s="154" t="s">
        <v>6075</v>
      </c>
      <c r="J1610" s="154" t="s">
        <v>29</v>
      </c>
      <c r="K1610" s="154" t="s">
        <v>2426</v>
      </c>
      <c r="N1610" s="155"/>
      <c r="O1610" s="156"/>
      <c r="P1610" s="157"/>
      <c r="Q1610" s="158">
        <v>2</v>
      </c>
      <c r="R1610" s="159">
        <v>1</v>
      </c>
      <c r="S1610" s="160"/>
      <c r="T1610" s="161">
        <v>3</v>
      </c>
      <c r="U1610" s="156"/>
      <c r="V1610" s="162">
        <v>1</v>
      </c>
      <c r="W1610" s="163"/>
      <c r="X1610" s="164"/>
      <c r="Y1610" s="159"/>
      <c r="Z1610" s="161"/>
      <c r="AA1610" s="165"/>
      <c r="AD1610" s="154" t="s">
        <v>6072</v>
      </c>
      <c r="AE1610" s="155"/>
      <c r="AF1610" s="154" t="s">
        <v>6076</v>
      </c>
      <c r="AP1610" s="155"/>
      <c r="AQ1610" s="156"/>
      <c r="AR1610" s="157"/>
      <c r="AS1610" s="158"/>
      <c r="AT1610" s="159"/>
      <c r="AU1610" s="161"/>
      <c r="AV1610" s="156"/>
      <c r="AW1610" s="162"/>
      <c r="AX1610" s="163"/>
      <c r="AY1610" s="164"/>
      <c r="AZ1610" s="159"/>
      <c r="BA1610" s="161"/>
      <c r="BB1610" s="165"/>
      <c r="BF1610" s="155"/>
    </row>
    <row r="1611" spans="1:58" s="154" customFormat="1" ht="15" customHeight="1">
      <c r="A1611" s="153" t="s">
        <v>5693</v>
      </c>
      <c r="B1611" s="23" t="s">
        <v>6077</v>
      </c>
      <c r="C1611" s="154" t="s">
        <v>5695</v>
      </c>
      <c r="D1611" s="155">
        <v>102</v>
      </c>
      <c r="E1611" s="154">
        <v>2</v>
      </c>
      <c r="F1611" s="154" t="s">
        <v>6111</v>
      </c>
      <c r="G1611" s="154" t="s">
        <v>6078</v>
      </c>
      <c r="J1611" s="154" t="s">
        <v>28</v>
      </c>
      <c r="K1611" s="154" t="s">
        <v>2426</v>
      </c>
      <c r="N1611" s="155"/>
      <c r="O1611" s="156"/>
      <c r="P1611" s="157"/>
      <c r="Q1611" s="158"/>
      <c r="R1611" s="159"/>
      <c r="S1611" s="160"/>
      <c r="T1611" s="161"/>
      <c r="U1611" s="156"/>
      <c r="V1611" s="162"/>
      <c r="W1611" s="163"/>
      <c r="X1611" s="164"/>
      <c r="Y1611" s="159"/>
      <c r="Z1611" s="161"/>
      <c r="AA1611" s="165"/>
      <c r="AD1611" s="154" t="s">
        <v>6079</v>
      </c>
      <c r="AE1611" s="155"/>
      <c r="AF1611" s="154" t="s">
        <v>6080</v>
      </c>
      <c r="AP1611" s="155"/>
      <c r="AQ1611" s="156"/>
      <c r="AR1611" s="157"/>
      <c r="AS1611" s="158"/>
      <c r="AT1611" s="159"/>
      <c r="AU1611" s="161"/>
      <c r="AV1611" s="156"/>
      <c r="AW1611" s="162"/>
      <c r="AX1611" s="163"/>
      <c r="AY1611" s="164"/>
      <c r="AZ1611" s="159"/>
      <c r="BA1611" s="161"/>
      <c r="BB1611" s="165"/>
      <c r="BF1611" s="155"/>
    </row>
    <row r="1612" spans="1:58" s="154" customFormat="1" ht="15" customHeight="1">
      <c r="A1612" s="153" t="s">
        <v>5693</v>
      </c>
      <c r="B1612" s="23" t="s">
        <v>6081</v>
      </c>
      <c r="C1612" s="154" t="s">
        <v>5695</v>
      </c>
      <c r="D1612" s="155">
        <v>103</v>
      </c>
      <c r="E1612" s="154">
        <v>2</v>
      </c>
      <c r="F1612" s="154" t="s">
        <v>6086</v>
      </c>
      <c r="G1612" s="154" t="s">
        <v>6082</v>
      </c>
      <c r="J1612" s="154" t="s">
        <v>29</v>
      </c>
      <c r="K1612" s="154" t="s">
        <v>2426</v>
      </c>
      <c r="N1612" s="155"/>
      <c r="O1612" s="156"/>
      <c r="P1612" s="157"/>
      <c r="Q1612" s="158">
        <v>2</v>
      </c>
      <c r="R1612" s="159">
        <v>2</v>
      </c>
      <c r="S1612" s="160"/>
      <c r="T1612" s="161">
        <v>2</v>
      </c>
      <c r="U1612" s="156"/>
      <c r="V1612" s="162"/>
      <c r="W1612" s="163">
        <v>2</v>
      </c>
      <c r="X1612" s="164"/>
      <c r="Y1612" s="159"/>
      <c r="Z1612" s="161"/>
      <c r="AA1612" s="165"/>
      <c r="AD1612" s="154" t="s">
        <v>6083</v>
      </c>
      <c r="AE1612" s="155"/>
      <c r="AF1612" s="154" t="s">
        <v>6084</v>
      </c>
      <c r="AP1612" s="155"/>
      <c r="AQ1612" s="156"/>
      <c r="AR1612" s="157"/>
      <c r="AS1612" s="158"/>
      <c r="AT1612" s="159"/>
      <c r="AU1612" s="161"/>
      <c r="AV1612" s="156"/>
      <c r="AW1612" s="162"/>
      <c r="AX1612" s="163"/>
      <c r="AY1612" s="164"/>
      <c r="AZ1612" s="159"/>
      <c r="BA1612" s="161"/>
      <c r="BB1612" s="165"/>
      <c r="BF1612" s="155"/>
    </row>
    <row r="1613" spans="1:58" s="154" customFormat="1" ht="15" customHeight="1">
      <c r="A1613" s="153" t="s">
        <v>5693</v>
      </c>
      <c r="B1613" s="23" t="s">
        <v>6085</v>
      </c>
      <c r="C1613" s="154" t="s">
        <v>5695</v>
      </c>
      <c r="D1613" s="155">
        <v>104</v>
      </c>
      <c r="E1613" s="154">
        <v>2</v>
      </c>
      <c r="F1613" s="154" t="s">
        <v>6086</v>
      </c>
      <c r="G1613" s="154" t="s">
        <v>6086</v>
      </c>
      <c r="J1613" s="154" t="s">
        <v>28</v>
      </c>
      <c r="K1613" s="154" t="s">
        <v>2426</v>
      </c>
      <c r="N1613" s="155"/>
      <c r="O1613" s="156"/>
      <c r="P1613" s="157"/>
      <c r="Q1613" s="158"/>
      <c r="R1613" s="159"/>
      <c r="S1613" s="160"/>
      <c r="T1613" s="161"/>
      <c r="U1613" s="156"/>
      <c r="V1613" s="162"/>
      <c r="W1613" s="163"/>
      <c r="X1613" s="164"/>
      <c r="Y1613" s="159"/>
      <c r="Z1613" s="161"/>
      <c r="AA1613" s="165"/>
      <c r="AD1613" s="154" t="s">
        <v>6087</v>
      </c>
      <c r="AE1613" s="155"/>
      <c r="AF1613" s="154" t="s">
        <v>6088</v>
      </c>
      <c r="AP1613" s="155"/>
      <c r="AQ1613" s="156"/>
      <c r="AR1613" s="157"/>
      <c r="AS1613" s="158"/>
      <c r="AT1613" s="159"/>
      <c r="AU1613" s="161"/>
      <c r="AV1613" s="156"/>
      <c r="AW1613" s="162"/>
      <c r="AX1613" s="163"/>
      <c r="AY1613" s="164"/>
      <c r="AZ1613" s="159"/>
      <c r="BA1613" s="161"/>
      <c r="BB1613" s="165"/>
      <c r="BF1613" s="155"/>
    </row>
    <row r="1614" spans="1:58" s="154" customFormat="1" ht="15" customHeight="1">
      <c r="A1614" s="153" t="s">
        <v>5693</v>
      </c>
      <c r="B1614" s="23" t="s">
        <v>6089</v>
      </c>
      <c r="C1614" s="154" t="s">
        <v>5695</v>
      </c>
      <c r="D1614" s="155">
        <v>105</v>
      </c>
      <c r="E1614" s="154">
        <v>2</v>
      </c>
      <c r="F1614" s="154" t="s">
        <v>6112</v>
      </c>
      <c r="G1614" s="154" t="s">
        <v>6090</v>
      </c>
      <c r="J1614" s="154" t="s">
        <v>28</v>
      </c>
      <c r="K1614" s="154" t="s">
        <v>2426</v>
      </c>
      <c r="N1614" s="155"/>
      <c r="O1614" s="156"/>
      <c r="P1614" s="157"/>
      <c r="Q1614" s="158"/>
      <c r="R1614" s="159"/>
      <c r="S1614" s="160"/>
      <c r="T1614" s="161"/>
      <c r="U1614" s="156"/>
      <c r="V1614" s="162"/>
      <c r="W1614" s="163"/>
      <c r="X1614" s="164"/>
      <c r="Y1614" s="159"/>
      <c r="Z1614" s="161"/>
      <c r="AA1614" s="165"/>
      <c r="AD1614" s="154" t="s">
        <v>6087</v>
      </c>
      <c r="AE1614" s="155"/>
      <c r="AF1614" s="154" t="s">
        <v>6091</v>
      </c>
      <c r="AP1614" s="155"/>
      <c r="AQ1614" s="156"/>
      <c r="AR1614" s="157"/>
      <c r="AS1614" s="158"/>
      <c r="AT1614" s="159"/>
      <c r="AU1614" s="161"/>
      <c r="AV1614" s="156"/>
      <c r="AW1614" s="162"/>
      <c r="AX1614" s="163"/>
      <c r="AY1614" s="164"/>
      <c r="AZ1614" s="159"/>
      <c r="BA1614" s="161"/>
      <c r="BB1614" s="165"/>
      <c r="BF1614" s="155"/>
    </row>
    <row r="1615" spans="1:58" s="154" customFormat="1" ht="15" customHeight="1">
      <c r="A1615" s="153" t="s">
        <v>5693</v>
      </c>
      <c r="B1615" s="30" t="s">
        <v>6092</v>
      </c>
      <c r="C1615" s="154" t="s">
        <v>5695</v>
      </c>
      <c r="D1615" s="155">
        <v>106</v>
      </c>
      <c r="E1615" s="154">
        <v>2</v>
      </c>
      <c r="F1615" s="154" t="s">
        <v>6112</v>
      </c>
      <c r="G1615" s="154" t="s">
        <v>6093</v>
      </c>
      <c r="J1615" s="154" t="s">
        <v>28</v>
      </c>
      <c r="K1615" s="154" t="s">
        <v>2426</v>
      </c>
      <c r="N1615" s="155"/>
      <c r="O1615" s="156"/>
      <c r="P1615" s="157"/>
      <c r="Q1615" s="158"/>
      <c r="R1615" s="159"/>
      <c r="S1615" s="160"/>
      <c r="T1615" s="161"/>
      <c r="U1615" s="156"/>
      <c r="V1615" s="162"/>
      <c r="W1615" s="163"/>
      <c r="X1615" s="164"/>
      <c r="Y1615" s="159"/>
      <c r="Z1615" s="161"/>
      <c r="AA1615" s="165"/>
      <c r="AD1615" s="154" t="s">
        <v>6087</v>
      </c>
      <c r="AE1615" s="155"/>
      <c r="AF1615" s="154" t="s">
        <v>6094</v>
      </c>
      <c r="AP1615" s="155"/>
      <c r="AQ1615" s="156"/>
      <c r="AR1615" s="157"/>
      <c r="AS1615" s="158"/>
      <c r="AT1615" s="159"/>
      <c r="AU1615" s="161"/>
      <c r="AV1615" s="156"/>
      <c r="AW1615" s="162"/>
      <c r="AX1615" s="163"/>
      <c r="AY1615" s="164"/>
      <c r="AZ1615" s="159"/>
      <c r="BA1615" s="161"/>
      <c r="BB1615" s="165"/>
      <c r="BF1615" s="155"/>
    </row>
    <row r="1616" spans="1:58" s="154" customFormat="1" ht="15" customHeight="1">
      <c r="A1616" s="153" t="s">
        <v>5693</v>
      </c>
      <c r="B1616" s="23" t="s">
        <v>6095</v>
      </c>
      <c r="C1616" s="154" t="s">
        <v>5695</v>
      </c>
      <c r="D1616" s="155">
        <v>107</v>
      </c>
      <c r="E1616" s="154">
        <v>3</v>
      </c>
      <c r="F1616" s="154" t="s">
        <v>6113</v>
      </c>
      <c r="G1616" s="154" t="s">
        <v>6096</v>
      </c>
      <c r="J1616" s="154" t="s">
        <v>28</v>
      </c>
      <c r="K1616" s="154" t="s">
        <v>2426</v>
      </c>
      <c r="N1616" s="155"/>
      <c r="O1616" s="156"/>
      <c r="P1616" s="157"/>
      <c r="Q1616" s="158"/>
      <c r="R1616" s="159"/>
      <c r="S1616" s="160"/>
      <c r="T1616" s="161"/>
      <c r="U1616" s="156"/>
      <c r="V1616" s="162"/>
      <c r="W1616" s="163"/>
      <c r="X1616" s="164"/>
      <c r="Y1616" s="159"/>
      <c r="Z1616" s="161"/>
      <c r="AA1616" s="165"/>
      <c r="AD1616" s="154" t="s">
        <v>6087</v>
      </c>
      <c r="AE1616" s="155"/>
      <c r="AF1616" s="154" t="s">
        <v>6097</v>
      </c>
      <c r="AP1616" s="155"/>
      <c r="AQ1616" s="156"/>
      <c r="AR1616" s="157"/>
      <c r="AS1616" s="158"/>
      <c r="AT1616" s="159"/>
      <c r="AU1616" s="161"/>
      <c r="AV1616" s="156"/>
      <c r="AW1616" s="162"/>
      <c r="AX1616" s="163"/>
      <c r="AY1616" s="164"/>
      <c r="AZ1616" s="159"/>
      <c r="BA1616" s="161"/>
      <c r="BB1616" s="165"/>
      <c r="BF1616" s="155"/>
    </row>
    <row r="1617" spans="1:58" s="154" customFormat="1" ht="15" customHeight="1">
      <c r="A1617" s="153" t="s">
        <v>5693</v>
      </c>
      <c r="B1617" s="23" t="s">
        <v>6098</v>
      </c>
      <c r="C1617" s="154" t="s">
        <v>5695</v>
      </c>
      <c r="D1617" s="155">
        <v>108</v>
      </c>
      <c r="E1617" s="154">
        <v>3</v>
      </c>
      <c r="F1617" s="154" t="s">
        <v>6113</v>
      </c>
      <c r="G1617" s="154" t="s">
        <v>6099</v>
      </c>
      <c r="J1617" s="154" t="s">
        <v>28</v>
      </c>
      <c r="K1617" s="154" t="s">
        <v>2426</v>
      </c>
      <c r="N1617" s="155"/>
      <c r="O1617" s="156"/>
      <c r="P1617" s="157"/>
      <c r="Q1617" s="158"/>
      <c r="R1617" s="159"/>
      <c r="S1617" s="160"/>
      <c r="T1617" s="161"/>
      <c r="U1617" s="156"/>
      <c r="V1617" s="162"/>
      <c r="W1617" s="163"/>
      <c r="X1617" s="164"/>
      <c r="Y1617" s="159"/>
      <c r="Z1617" s="161"/>
      <c r="AA1617" s="165"/>
      <c r="AD1617" s="154" t="s">
        <v>6079</v>
      </c>
      <c r="AE1617" s="155"/>
      <c r="AF1617" s="154" t="s">
        <v>6100</v>
      </c>
      <c r="AP1617" s="155"/>
      <c r="AQ1617" s="156"/>
      <c r="AR1617" s="157"/>
      <c r="AS1617" s="158"/>
      <c r="AT1617" s="159"/>
      <c r="AU1617" s="161"/>
      <c r="AV1617" s="156"/>
      <c r="AW1617" s="162"/>
      <c r="AX1617" s="163"/>
      <c r="AY1617" s="164"/>
      <c r="AZ1617" s="159"/>
      <c r="BA1617" s="161"/>
      <c r="BB1617" s="165"/>
      <c r="BF1617" s="155"/>
    </row>
    <row r="1618" spans="1:58" ht="15" customHeight="1">
      <c r="A1618" s="153" t="s">
        <v>5693</v>
      </c>
      <c r="B1618" s="23" t="s">
        <v>5849</v>
      </c>
      <c r="C1618" s="154" t="s">
        <v>5695</v>
      </c>
      <c r="D1618" s="24">
        <v>990</v>
      </c>
      <c r="E1618" s="23">
        <v>1</v>
      </c>
      <c r="G1618" s="171" t="s">
        <v>5696</v>
      </c>
      <c r="J1618" s="23" t="s">
        <v>861</v>
      </c>
      <c r="K1618" s="28" t="s">
        <v>198</v>
      </c>
      <c r="N1618" s="147"/>
      <c r="O1618" s="118"/>
      <c r="P1618" s="119"/>
      <c r="Q1618" s="120"/>
      <c r="R1618" s="29"/>
      <c r="S1618" s="135"/>
      <c r="T1618" s="122"/>
      <c r="U1618" s="118"/>
      <c r="V1618" s="123"/>
      <c r="W1618" s="124"/>
      <c r="X1618" s="125"/>
      <c r="Y1618" s="29"/>
      <c r="Z1618" s="122"/>
      <c r="AA1618" s="126"/>
      <c r="AB1618" s="148"/>
      <c r="AI1618" s="171" t="s">
        <v>5696</v>
      </c>
      <c r="AL1618" s="23" t="s">
        <v>861</v>
      </c>
      <c r="AM1618" s="28" t="s">
        <v>198</v>
      </c>
      <c r="AP1618" s="24"/>
      <c r="AQ1618" s="118"/>
      <c r="AR1618" s="119"/>
      <c r="AS1618" s="120"/>
      <c r="AT1618" s="29"/>
      <c r="AU1618" s="122"/>
      <c r="AV1618" s="118"/>
      <c r="AW1618" s="123"/>
      <c r="AX1618" s="124"/>
      <c r="AY1618" s="125"/>
      <c r="AZ1618" s="29"/>
      <c r="BA1618" s="122"/>
      <c r="BB1618" s="126"/>
    </row>
    <row r="1619" spans="1:58" ht="15" customHeight="1">
      <c r="A1619" s="153" t="s">
        <v>5693</v>
      </c>
      <c r="B1619" s="23" t="s">
        <v>5850</v>
      </c>
      <c r="C1619" s="154" t="s">
        <v>5695</v>
      </c>
      <c r="D1619" s="24">
        <v>991</v>
      </c>
      <c r="E1619" s="23">
        <v>1</v>
      </c>
      <c r="G1619" s="154" t="s">
        <v>5702</v>
      </c>
      <c r="J1619" s="23" t="s">
        <v>861</v>
      </c>
      <c r="K1619" s="23" t="s">
        <v>199</v>
      </c>
      <c r="N1619" s="147"/>
      <c r="O1619" s="118"/>
      <c r="P1619" s="119"/>
      <c r="Q1619" s="120"/>
      <c r="R1619" s="29"/>
      <c r="S1619" s="135"/>
      <c r="T1619" s="122"/>
      <c r="U1619" s="118"/>
      <c r="V1619" s="123"/>
      <c r="W1619" s="124"/>
      <c r="X1619" s="125"/>
      <c r="Y1619" s="29"/>
      <c r="Z1619" s="122"/>
      <c r="AA1619" s="126"/>
      <c r="AB1619" s="148"/>
      <c r="AI1619" s="154" t="s">
        <v>5702</v>
      </c>
      <c r="AL1619" s="23" t="s">
        <v>861</v>
      </c>
      <c r="AM1619" s="23" t="s">
        <v>199</v>
      </c>
      <c r="AP1619" s="24"/>
      <c r="AQ1619" s="118"/>
      <c r="AR1619" s="119"/>
      <c r="AS1619" s="120"/>
      <c r="AT1619" s="29"/>
      <c r="AU1619" s="122"/>
      <c r="AV1619" s="118"/>
      <c r="AW1619" s="123"/>
      <c r="AX1619" s="124"/>
      <c r="AY1619" s="125"/>
      <c r="AZ1619" s="29"/>
      <c r="BA1619" s="122"/>
      <c r="BB1619" s="126"/>
    </row>
    <row r="1620" spans="1:58" ht="15" customHeight="1">
      <c r="A1620" s="153" t="s">
        <v>5693</v>
      </c>
      <c r="B1620" s="23" t="s">
        <v>5851</v>
      </c>
      <c r="C1620" s="154" t="s">
        <v>5695</v>
      </c>
      <c r="D1620" s="24">
        <v>992</v>
      </c>
      <c r="E1620" s="23">
        <v>1</v>
      </c>
      <c r="G1620" s="154" t="s">
        <v>5708</v>
      </c>
      <c r="J1620" s="23" t="s">
        <v>861</v>
      </c>
      <c r="K1620" s="23" t="s">
        <v>201</v>
      </c>
      <c r="N1620" s="147"/>
      <c r="O1620" s="118"/>
      <c r="P1620" s="119"/>
      <c r="Q1620" s="120"/>
      <c r="R1620" s="29"/>
      <c r="S1620" s="135"/>
      <c r="T1620" s="122"/>
      <c r="U1620" s="118"/>
      <c r="V1620" s="123"/>
      <c r="W1620" s="124"/>
      <c r="X1620" s="125"/>
      <c r="Y1620" s="29"/>
      <c r="Z1620" s="122"/>
      <c r="AA1620" s="126"/>
      <c r="AB1620" s="148"/>
      <c r="AI1620" s="154" t="s">
        <v>5708</v>
      </c>
      <c r="AL1620" s="23" t="s">
        <v>861</v>
      </c>
      <c r="AM1620" s="23" t="s">
        <v>201</v>
      </c>
      <c r="AP1620" s="24"/>
      <c r="AQ1620" s="118"/>
      <c r="AR1620" s="119"/>
      <c r="AS1620" s="120"/>
      <c r="AT1620" s="29"/>
      <c r="AU1620" s="122"/>
      <c r="AV1620" s="118"/>
      <c r="AW1620" s="123"/>
      <c r="AX1620" s="124"/>
      <c r="AY1620" s="125"/>
      <c r="AZ1620" s="29"/>
      <c r="BA1620" s="122"/>
      <c r="BB1620" s="126"/>
    </row>
    <row r="1621" spans="1:58" ht="15" customHeight="1">
      <c r="A1621" s="153" t="s">
        <v>5693</v>
      </c>
      <c r="B1621" s="23" t="s">
        <v>5852</v>
      </c>
      <c r="C1621" s="154" t="s">
        <v>5695</v>
      </c>
      <c r="D1621" s="24">
        <v>993</v>
      </c>
      <c r="E1621" s="23">
        <v>1</v>
      </c>
      <c r="G1621" s="154" t="s">
        <v>5714</v>
      </c>
      <c r="J1621" s="23" t="s">
        <v>861</v>
      </c>
      <c r="K1621" s="23" t="s">
        <v>200</v>
      </c>
      <c r="N1621" s="147"/>
      <c r="O1621" s="118"/>
      <c r="P1621" s="119"/>
      <c r="Q1621" s="120"/>
      <c r="R1621" s="29"/>
      <c r="S1621" s="135"/>
      <c r="T1621" s="122"/>
      <c r="U1621" s="118"/>
      <c r="V1621" s="123"/>
      <c r="W1621" s="124"/>
      <c r="X1621" s="125"/>
      <c r="Y1621" s="29"/>
      <c r="Z1621" s="122"/>
      <c r="AA1621" s="126"/>
      <c r="AB1621" s="148"/>
      <c r="AI1621" s="154" t="s">
        <v>5714</v>
      </c>
      <c r="AL1621" s="23" t="s">
        <v>861</v>
      </c>
      <c r="AM1621" s="23" t="s">
        <v>200</v>
      </c>
      <c r="AP1621" s="24"/>
      <c r="AQ1621" s="118"/>
      <c r="AR1621" s="119"/>
      <c r="AS1621" s="120"/>
      <c r="AT1621" s="29"/>
      <c r="AU1621" s="122"/>
      <c r="AV1621" s="118"/>
      <c r="AW1621" s="123"/>
      <c r="AX1621" s="124"/>
      <c r="AY1621" s="125"/>
      <c r="AZ1621" s="29"/>
      <c r="BA1621" s="122"/>
      <c r="BB1621" s="126"/>
    </row>
    <row r="1622" spans="1:58" ht="15" customHeight="1">
      <c r="A1622" s="153" t="s">
        <v>5693</v>
      </c>
      <c r="B1622" s="23" t="s">
        <v>5853</v>
      </c>
      <c r="C1622" s="154" t="s">
        <v>5695</v>
      </c>
      <c r="D1622" s="24">
        <v>994</v>
      </c>
      <c r="E1622" s="23">
        <v>1</v>
      </c>
      <c r="G1622" s="154" t="s">
        <v>5720</v>
      </c>
      <c r="J1622" s="23" t="s">
        <v>861</v>
      </c>
      <c r="K1622" s="23" t="s">
        <v>202</v>
      </c>
      <c r="N1622" s="147"/>
      <c r="O1622" s="118"/>
      <c r="P1622" s="119"/>
      <c r="Q1622" s="120"/>
      <c r="R1622" s="29"/>
      <c r="S1622" s="135"/>
      <c r="T1622" s="122"/>
      <c r="U1622" s="118"/>
      <c r="V1622" s="123"/>
      <c r="W1622" s="124"/>
      <c r="X1622" s="125"/>
      <c r="Y1622" s="29"/>
      <c r="Z1622" s="122"/>
      <c r="AA1622" s="126"/>
      <c r="AB1622" s="148"/>
      <c r="AI1622" s="154" t="s">
        <v>5720</v>
      </c>
      <c r="AL1622" s="23" t="s">
        <v>861</v>
      </c>
      <c r="AM1622" s="23" t="s">
        <v>202</v>
      </c>
      <c r="AP1622" s="24"/>
      <c r="AQ1622" s="118"/>
      <c r="AR1622" s="119"/>
      <c r="AS1622" s="120"/>
      <c r="AT1622" s="29"/>
      <c r="AU1622" s="122"/>
      <c r="AV1622" s="118"/>
      <c r="AW1622" s="123"/>
      <c r="AX1622" s="124"/>
      <c r="AY1622" s="125"/>
      <c r="AZ1622" s="29"/>
      <c r="BA1622" s="122"/>
      <c r="BB1622" s="126"/>
    </row>
    <row r="1623" spans="1:58" ht="15" customHeight="1">
      <c r="A1623" s="153" t="s">
        <v>5693</v>
      </c>
      <c r="B1623" s="23" t="s">
        <v>5854</v>
      </c>
      <c r="C1623" s="154" t="s">
        <v>5695</v>
      </c>
      <c r="D1623" s="24">
        <v>995</v>
      </c>
      <c r="E1623" s="23">
        <v>1</v>
      </c>
      <c r="G1623" s="154" t="s">
        <v>1114</v>
      </c>
      <c r="J1623" s="23" t="s">
        <v>861</v>
      </c>
      <c r="K1623" s="23" t="s">
        <v>200</v>
      </c>
      <c r="N1623" s="147"/>
      <c r="O1623" s="118"/>
      <c r="P1623" s="119"/>
      <c r="Q1623" s="120"/>
      <c r="R1623" s="29"/>
      <c r="S1623" s="135"/>
      <c r="T1623" s="122"/>
      <c r="U1623" s="118"/>
      <c r="V1623" s="123"/>
      <c r="W1623" s="124"/>
      <c r="X1623" s="125"/>
      <c r="Y1623" s="29"/>
      <c r="Z1623" s="122"/>
      <c r="AA1623" s="126"/>
      <c r="AB1623" s="148"/>
      <c r="AI1623" s="154" t="s">
        <v>1114</v>
      </c>
      <c r="AL1623" s="23" t="s">
        <v>861</v>
      </c>
      <c r="AM1623" s="23" t="s">
        <v>200</v>
      </c>
      <c r="AP1623" s="24"/>
      <c r="AQ1623" s="118"/>
      <c r="AR1623" s="119"/>
      <c r="AS1623" s="120"/>
      <c r="AT1623" s="29"/>
      <c r="AU1623" s="122"/>
      <c r="AV1623" s="118"/>
      <c r="AW1623" s="123"/>
      <c r="AX1623" s="124"/>
      <c r="AY1623" s="125"/>
      <c r="AZ1623" s="29"/>
      <c r="BA1623" s="122"/>
      <c r="BB1623" s="126"/>
    </row>
    <row r="1624" spans="1:58" s="154" customFormat="1" ht="15" customHeight="1">
      <c r="A1624" s="153" t="s">
        <v>5693</v>
      </c>
      <c r="B1624" s="23" t="s">
        <v>6101</v>
      </c>
      <c r="C1624" s="154" t="s">
        <v>5695</v>
      </c>
      <c r="D1624" s="24">
        <v>996</v>
      </c>
      <c r="E1624" s="154">
        <v>1</v>
      </c>
      <c r="F1624" s="171" t="s">
        <v>5862</v>
      </c>
      <c r="G1624" s="154" t="s">
        <v>5875</v>
      </c>
      <c r="J1624" s="23" t="s">
        <v>861</v>
      </c>
      <c r="K1624" s="23" t="s">
        <v>26</v>
      </c>
      <c r="N1624" s="155"/>
      <c r="O1624" s="156"/>
      <c r="P1624" s="157"/>
      <c r="Q1624" s="158"/>
      <c r="R1624" s="159"/>
      <c r="S1624" s="160"/>
      <c r="T1624" s="161"/>
      <c r="U1624" s="156"/>
      <c r="V1624" s="162"/>
      <c r="W1624" s="163"/>
      <c r="X1624" s="164"/>
      <c r="Y1624" s="159"/>
      <c r="Z1624" s="161"/>
      <c r="AA1624" s="165"/>
      <c r="AE1624" s="155"/>
      <c r="AI1624" s="154" t="s">
        <v>5875</v>
      </c>
      <c r="AL1624" s="23" t="s">
        <v>861</v>
      </c>
      <c r="AM1624" s="23" t="s">
        <v>26</v>
      </c>
      <c r="AP1624" s="155"/>
      <c r="AQ1624" s="156"/>
      <c r="AR1624" s="157"/>
      <c r="AS1624" s="158"/>
      <c r="AT1624" s="159"/>
      <c r="AU1624" s="161"/>
      <c r="AV1624" s="156"/>
      <c r="AW1624" s="162"/>
      <c r="AX1624" s="163"/>
      <c r="AY1624" s="164"/>
      <c r="AZ1624" s="159"/>
      <c r="BA1624" s="161"/>
      <c r="BB1624" s="165"/>
      <c r="BF1624" s="155"/>
    </row>
    <row r="1625" spans="1:58" s="154" customFormat="1" ht="15" customHeight="1">
      <c r="A1625" s="153" t="s">
        <v>5693</v>
      </c>
      <c r="B1625" s="23" t="s">
        <v>6102</v>
      </c>
      <c r="C1625" s="154" t="s">
        <v>5695</v>
      </c>
      <c r="D1625" s="24">
        <v>997</v>
      </c>
      <c r="E1625" s="154">
        <v>1</v>
      </c>
      <c r="F1625" s="171" t="s">
        <v>5862</v>
      </c>
      <c r="G1625" s="154" t="s">
        <v>5881</v>
      </c>
      <c r="J1625" s="23" t="s">
        <v>861</v>
      </c>
      <c r="K1625" s="23" t="s">
        <v>26</v>
      </c>
      <c r="N1625" s="155"/>
      <c r="O1625" s="156"/>
      <c r="P1625" s="157"/>
      <c r="Q1625" s="158"/>
      <c r="R1625" s="159"/>
      <c r="S1625" s="160"/>
      <c r="T1625" s="161"/>
      <c r="U1625" s="156"/>
      <c r="V1625" s="162"/>
      <c r="W1625" s="163"/>
      <c r="X1625" s="164"/>
      <c r="Y1625" s="159"/>
      <c r="Z1625" s="161"/>
      <c r="AA1625" s="165"/>
      <c r="AE1625" s="155"/>
      <c r="AI1625" s="154" t="s">
        <v>5881</v>
      </c>
      <c r="AL1625" s="23" t="s">
        <v>861</v>
      </c>
      <c r="AM1625" s="23" t="s">
        <v>26</v>
      </c>
      <c r="AP1625" s="155"/>
      <c r="AQ1625" s="156"/>
      <c r="AR1625" s="157"/>
      <c r="AS1625" s="158"/>
      <c r="AT1625" s="159"/>
      <c r="AU1625" s="161"/>
      <c r="AV1625" s="156"/>
      <c r="AW1625" s="162"/>
      <c r="AX1625" s="163"/>
      <c r="AY1625" s="164"/>
      <c r="AZ1625" s="159"/>
      <c r="BA1625" s="161"/>
      <c r="BB1625" s="165"/>
      <c r="BF1625" s="155"/>
    </row>
    <row r="1626" spans="1:58" s="154" customFormat="1" ht="15" customHeight="1">
      <c r="A1626" s="153" t="s">
        <v>5693</v>
      </c>
      <c r="B1626" s="23" t="s">
        <v>6103</v>
      </c>
      <c r="C1626" s="154" t="s">
        <v>5695</v>
      </c>
      <c r="D1626" s="24">
        <v>998</v>
      </c>
      <c r="E1626" s="154">
        <v>1</v>
      </c>
      <c r="F1626" s="171" t="s">
        <v>5862</v>
      </c>
      <c r="G1626" s="154" t="s">
        <v>5887</v>
      </c>
      <c r="J1626" s="23" t="s">
        <v>861</v>
      </c>
      <c r="K1626" s="23" t="s">
        <v>26</v>
      </c>
      <c r="N1626" s="155"/>
      <c r="O1626" s="156"/>
      <c r="P1626" s="157"/>
      <c r="Q1626" s="158"/>
      <c r="R1626" s="159"/>
      <c r="S1626" s="160"/>
      <c r="T1626" s="161"/>
      <c r="U1626" s="156"/>
      <c r="V1626" s="162"/>
      <c r="W1626" s="163"/>
      <c r="X1626" s="164"/>
      <c r="Y1626" s="159"/>
      <c r="Z1626" s="161"/>
      <c r="AA1626" s="165"/>
      <c r="AE1626" s="155"/>
      <c r="AI1626" s="154" t="s">
        <v>5887</v>
      </c>
      <c r="AL1626" s="23" t="s">
        <v>861</v>
      </c>
      <c r="AM1626" s="23" t="s">
        <v>26</v>
      </c>
      <c r="AP1626" s="155"/>
      <c r="AQ1626" s="156"/>
      <c r="AR1626" s="157"/>
      <c r="AS1626" s="158"/>
      <c r="AT1626" s="159"/>
      <c r="AU1626" s="161"/>
      <c r="AV1626" s="156"/>
      <c r="AW1626" s="162"/>
      <c r="AX1626" s="163"/>
      <c r="AY1626" s="164"/>
      <c r="AZ1626" s="159"/>
      <c r="BA1626" s="161"/>
      <c r="BB1626" s="165"/>
      <c r="BF1626" s="155"/>
    </row>
    <row r="1627" spans="1:58" s="154" customFormat="1" ht="15" customHeight="1">
      <c r="A1627" s="153" t="s">
        <v>5693</v>
      </c>
      <c r="B1627" s="23" t="s">
        <v>6104</v>
      </c>
      <c r="C1627" s="154" t="s">
        <v>5695</v>
      </c>
      <c r="D1627" s="24">
        <v>999</v>
      </c>
      <c r="E1627" s="154">
        <v>1</v>
      </c>
      <c r="F1627" s="171" t="s">
        <v>5862</v>
      </c>
      <c r="G1627" s="154" t="s">
        <v>5892</v>
      </c>
      <c r="J1627" s="23" t="s">
        <v>861</v>
      </c>
      <c r="K1627" s="23" t="s">
        <v>26</v>
      </c>
      <c r="N1627" s="155"/>
      <c r="O1627" s="156"/>
      <c r="P1627" s="157"/>
      <c r="Q1627" s="158"/>
      <c r="R1627" s="159"/>
      <c r="S1627" s="160"/>
      <c r="T1627" s="161"/>
      <c r="U1627" s="156"/>
      <c r="V1627" s="162"/>
      <c r="W1627" s="163"/>
      <c r="X1627" s="164"/>
      <c r="Y1627" s="159"/>
      <c r="Z1627" s="161"/>
      <c r="AA1627" s="165"/>
      <c r="AE1627" s="155"/>
      <c r="AI1627" s="154" t="s">
        <v>5892</v>
      </c>
      <c r="AL1627" s="23" t="s">
        <v>861</v>
      </c>
      <c r="AM1627" s="23" t="s">
        <v>26</v>
      </c>
      <c r="AP1627" s="155"/>
      <c r="AQ1627" s="156"/>
      <c r="AR1627" s="157"/>
      <c r="AS1627" s="158"/>
      <c r="AT1627" s="159"/>
      <c r="AU1627" s="161"/>
      <c r="AV1627" s="156"/>
      <c r="AW1627" s="162"/>
      <c r="AX1627" s="163"/>
      <c r="AY1627" s="164"/>
      <c r="AZ1627" s="159"/>
      <c r="BA1627" s="161"/>
      <c r="BB1627" s="165"/>
      <c r="BF1627" s="155"/>
    </row>
    <row r="1628" spans="1:58" s="171" customFormat="1" ht="15" customHeight="1">
      <c r="A1628" s="153" t="s">
        <v>6114</v>
      </c>
      <c r="B1628" s="154" t="s">
        <v>6115</v>
      </c>
      <c r="C1628" s="154" t="s">
        <v>6116</v>
      </c>
      <c r="D1628" s="170">
        <v>109</v>
      </c>
      <c r="E1628" s="171">
        <v>2</v>
      </c>
      <c r="G1628" s="171" t="s">
        <v>6117</v>
      </c>
      <c r="J1628" s="171" t="s">
        <v>257</v>
      </c>
      <c r="K1628" s="171" t="s">
        <v>198</v>
      </c>
      <c r="L1628" s="171">
        <v>0</v>
      </c>
      <c r="N1628" s="170">
        <v>3</v>
      </c>
      <c r="O1628" s="156">
        <v>1</v>
      </c>
      <c r="P1628" s="157"/>
      <c r="Q1628" s="158"/>
      <c r="R1628" s="159"/>
      <c r="S1628" s="160"/>
      <c r="T1628" s="161"/>
      <c r="U1628" s="156">
        <v>3</v>
      </c>
      <c r="V1628" s="162"/>
      <c r="W1628" s="163"/>
      <c r="X1628" s="164"/>
      <c r="Y1628" s="159"/>
      <c r="Z1628" s="161"/>
      <c r="AA1628" s="165"/>
      <c r="AB1628" s="171" t="s">
        <v>204</v>
      </c>
      <c r="AD1628" s="171" t="s">
        <v>289</v>
      </c>
      <c r="AE1628" s="170"/>
      <c r="AF1628" s="171" t="s">
        <v>6118</v>
      </c>
      <c r="AQ1628" s="156"/>
      <c r="AR1628" s="157"/>
      <c r="AS1628" s="158"/>
      <c r="AT1628" s="159"/>
      <c r="AU1628" s="161"/>
      <c r="AV1628" s="156"/>
      <c r="AW1628" s="162"/>
      <c r="AX1628" s="163"/>
      <c r="AY1628" s="164"/>
      <c r="AZ1628" s="159"/>
      <c r="BA1628" s="161"/>
      <c r="BB1628" s="165"/>
      <c r="BF1628" s="170"/>
    </row>
    <row r="1629" spans="1:58" s="154" customFormat="1" ht="15" customHeight="1">
      <c r="A1629" s="153" t="s">
        <v>6114</v>
      </c>
      <c r="B1629" s="154" t="s">
        <v>6119</v>
      </c>
      <c r="C1629" s="154" t="s">
        <v>6116</v>
      </c>
      <c r="D1629" s="170">
        <v>110</v>
      </c>
      <c r="E1629" s="154">
        <v>2</v>
      </c>
      <c r="F1629" s="171"/>
      <c r="G1629" s="154" t="s">
        <v>6120</v>
      </c>
      <c r="J1629" s="171" t="s">
        <v>27</v>
      </c>
      <c r="K1629" s="154" t="s">
        <v>199</v>
      </c>
      <c r="L1629" s="154">
        <v>0</v>
      </c>
      <c r="N1629" s="155">
        <v>0</v>
      </c>
      <c r="O1629" s="156"/>
      <c r="P1629" s="157">
        <v>1</v>
      </c>
      <c r="Q1629" s="158"/>
      <c r="R1629" s="159"/>
      <c r="S1629" s="160"/>
      <c r="T1629" s="161"/>
      <c r="U1629" s="156"/>
      <c r="V1629" s="162"/>
      <c r="W1629" s="163"/>
      <c r="X1629" s="164"/>
      <c r="Y1629" s="159"/>
      <c r="Z1629" s="161"/>
      <c r="AA1629" s="165"/>
      <c r="AB1629" s="154" t="s">
        <v>205</v>
      </c>
      <c r="AD1629" s="154" t="s">
        <v>340</v>
      </c>
      <c r="AE1629" s="155"/>
      <c r="AF1629" s="154" t="s">
        <v>6121</v>
      </c>
      <c r="AL1629" s="171"/>
      <c r="AO1629" s="155"/>
      <c r="AP1629" s="155"/>
      <c r="AQ1629" s="156"/>
      <c r="AR1629" s="157"/>
      <c r="AS1629" s="158"/>
      <c r="AT1629" s="159"/>
      <c r="AU1629" s="161"/>
      <c r="AV1629" s="156"/>
      <c r="AW1629" s="162"/>
      <c r="AX1629" s="163"/>
      <c r="AY1629" s="164"/>
      <c r="AZ1629" s="159"/>
      <c r="BA1629" s="161"/>
      <c r="BB1629" s="165"/>
      <c r="BE1629" s="155"/>
    </row>
    <row r="1630" spans="1:58" s="154" customFormat="1" ht="15" customHeight="1">
      <c r="A1630" s="153" t="s">
        <v>6114</v>
      </c>
      <c r="B1630" s="153" t="s">
        <v>6122</v>
      </c>
      <c r="C1630" s="154" t="s">
        <v>6116</v>
      </c>
      <c r="D1630" s="170">
        <v>111</v>
      </c>
      <c r="E1630" s="154">
        <v>2</v>
      </c>
      <c r="F1630" s="171"/>
      <c r="G1630" s="154" t="s">
        <v>6123</v>
      </c>
      <c r="J1630" s="171" t="s">
        <v>27</v>
      </c>
      <c r="K1630" s="154" t="s">
        <v>201</v>
      </c>
      <c r="L1630" s="154">
        <v>0</v>
      </c>
      <c r="N1630" s="155">
        <v>2</v>
      </c>
      <c r="O1630" s="156"/>
      <c r="P1630" s="157">
        <v>2</v>
      </c>
      <c r="Q1630" s="158"/>
      <c r="R1630" s="159"/>
      <c r="S1630" s="160"/>
      <c r="T1630" s="161"/>
      <c r="U1630" s="156"/>
      <c r="V1630" s="162"/>
      <c r="W1630" s="163"/>
      <c r="X1630" s="164"/>
      <c r="Y1630" s="159"/>
      <c r="Z1630" s="161"/>
      <c r="AA1630" s="165"/>
      <c r="AB1630" s="154" t="s">
        <v>1084</v>
      </c>
      <c r="AD1630" s="154" t="s">
        <v>6124</v>
      </c>
      <c r="AE1630" s="155"/>
      <c r="AF1630" s="154" t="s">
        <v>6146</v>
      </c>
      <c r="AL1630" s="171"/>
      <c r="AO1630" s="155"/>
      <c r="AP1630" s="155"/>
      <c r="AQ1630" s="156"/>
      <c r="AR1630" s="157"/>
      <c r="AS1630" s="158"/>
      <c r="AT1630" s="159"/>
      <c r="AU1630" s="161"/>
      <c r="AV1630" s="156"/>
      <c r="AW1630" s="162"/>
      <c r="AX1630" s="163"/>
      <c r="AY1630" s="164"/>
      <c r="AZ1630" s="159"/>
      <c r="BA1630" s="161"/>
      <c r="BB1630" s="165"/>
      <c r="BE1630" s="155"/>
    </row>
    <row r="1631" spans="1:58" s="154" customFormat="1" ht="15" customHeight="1">
      <c r="A1631" s="153" t="s">
        <v>6114</v>
      </c>
      <c r="B1631" s="153" t="s">
        <v>6125</v>
      </c>
      <c r="C1631" s="154" t="s">
        <v>6116</v>
      </c>
      <c r="D1631" s="170">
        <v>112</v>
      </c>
      <c r="E1631" s="154">
        <v>2</v>
      </c>
      <c r="G1631" s="154" t="s">
        <v>6126</v>
      </c>
      <c r="J1631" s="171" t="s">
        <v>257</v>
      </c>
      <c r="K1631" s="154" t="s">
        <v>200</v>
      </c>
      <c r="L1631" s="154">
        <v>0</v>
      </c>
      <c r="N1631" s="155">
        <v>3</v>
      </c>
      <c r="O1631" s="156">
        <v>1</v>
      </c>
      <c r="P1631" s="157"/>
      <c r="Q1631" s="158"/>
      <c r="R1631" s="159"/>
      <c r="S1631" s="160"/>
      <c r="T1631" s="161"/>
      <c r="U1631" s="156"/>
      <c r="V1631" s="162"/>
      <c r="W1631" s="163"/>
      <c r="X1631" s="164"/>
      <c r="Y1631" s="159"/>
      <c r="Z1631" s="161"/>
      <c r="AA1631" s="165"/>
      <c r="AB1631" s="154" t="s">
        <v>204</v>
      </c>
      <c r="AC1631" s="154" t="s">
        <v>258</v>
      </c>
      <c r="AD1631" s="154" t="s">
        <v>6127</v>
      </c>
      <c r="AE1631" s="155"/>
      <c r="AF1631" s="154" t="s">
        <v>6128</v>
      </c>
      <c r="AL1631" s="171"/>
      <c r="AO1631" s="155"/>
      <c r="AP1631" s="155"/>
      <c r="AQ1631" s="156"/>
      <c r="AR1631" s="157"/>
      <c r="AS1631" s="158"/>
      <c r="AT1631" s="159"/>
      <c r="AU1631" s="161"/>
      <c r="AV1631" s="156"/>
      <c r="AW1631" s="162"/>
      <c r="AX1631" s="163"/>
      <c r="AY1631" s="164"/>
      <c r="AZ1631" s="159"/>
      <c r="BA1631" s="161"/>
      <c r="BB1631" s="165"/>
      <c r="BE1631" s="155"/>
    </row>
    <row r="1632" spans="1:58" s="154" customFormat="1" ht="15" customHeight="1">
      <c r="A1632" s="153" t="s">
        <v>6114</v>
      </c>
      <c r="B1632" s="169" t="s">
        <v>6129</v>
      </c>
      <c r="C1632" s="154" t="s">
        <v>6116</v>
      </c>
      <c r="D1632" s="170">
        <v>113</v>
      </c>
      <c r="E1632" s="154">
        <v>2</v>
      </c>
      <c r="G1632" s="154" t="s">
        <v>6130</v>
      </c>
      <c r="J1632" s="154" t="s">
        <v>27</v>
      </c>
      <c r="K1632" s="154" t="s">
        <v>200</v>
      </c>
      <c r="L1632" s="154">
        <v>1</v>
      </c>
      <c r="N1632" s="154">
        <v>2</v>
      </c>
      <c r="O1632" s="156">
        <v>1</v>
      </c>
      <c r="P1632" s="157"/>
      <c r="Q1632" s="158"/>
      <c r="R1632" s="159">
        <v>1</v>
      </c>
      <c r="S1632" s="160"/>
      <c r="T1632" s="161"/>
      <c r="U1632" s="156"/>
      <c r="V1632" s="162"/>
      <c r="W1632" s="163"/>
      <c r="X1632" s="164"/>
      <c r="Y1632" s="159"/>
      <c r="Z1632" s="161"/>
      <c r="AA1632" s="165"/>
      <c r="AB1632" s="154" t="s">
        <v>1085</v>
      </c>
      <c r="AD1632" s="154" t="s">
        <v>279</v>
      </c>
      <c r="AF1632" s="154" t="s">
        <v>6147</v>
      </c>
      <c r="AO1632" s="155"/>
      <c r="AQ1632" s="156"/>
      <c r="AR1632" s="157"/>
      <c r="AS1632" s="158"/>
      <c r="AT1632" s="159"/>
      <c r="AU1632" s="161"/>
      <c r="AV1632" s="156"/>
      <c r="AW1632" s="162"/>
      <c r="AX1632" s="163"/>
      <c r="AY1632" s="164"/>
      <c r="AZ1632" s="159"/>
      <c r="BA1632" s="161"/>
      <c r="BB1632" s="165"/>
      <c r="BE1632" s="155"/>
    </row>
    <row r="1633" spans="1:57" s="154" customFormat="1" ht="15" customHeight="1">
      <c r="A1633" s="153" t="s">
        <v>6114</v>
      </c>
      <c r="B1633" s="169" t="s">
        <v>6131</v>
      </c>
      <c r="C1633" s="154" t="s">
        <v>6116</v>
      </c>
      <c r="D1633" s="170">
        <v>114</v>
      </c>
      <c r="E1633" s="154">
        <v>2</v>
      </c>
      <c r="G1633" s="154" t="s">
        <v>6132</v>
      </c>
      <c r="J1633" s="154" t="s">
        <v>257</v>
      </c>
      <c r="K1633" s="154" t="s">
        <v>202</v>
      </c>
      <c r="L1633" s="154">
        <v>0</v>
      </c>
      <c r="N1633" s="154">
        <v>3</v>
      </c>
      <c r="O1633" s="156">
        <v>1</v>
      </c>
      <c r="P1633" s="157"/>
      <c r="Q1633" s="158"/>
      <c r="R1633" s="159"/>
      <c r="S1633" s="160"/>
      <c r="T1633" s="161"/>
      <c r="U1633" s="156"/>
      <c r="V1633" s="162"/>
      <c r="W1633" s="163"/>
      <c r="X1633" s="164"/>
      <c r="Y1633" s="159"/>
      <c r="Z1633" s="161"/>
      <c r="AA1633" s="165"/>
      <c r="AB1633" s="154" t="s">
        <v>204</v>
      </c>
      <c r="AC1633" s="154" t="s">
        <v>258</v>
      </c>
      <c r="AD1633" s="154" t="s">
        <v>298</v>
      </c>
      <c r="AF1633" s="154" t="s">
        <v>6148</v>
      </c>
      <c r="AO1633" s="155"/>
      <c r="AQ1633" s="156"/>
      <c r="AR1633" s="157"/>
      <c r="AS1633" s="158"/>
      <c r="AT1633" s="159"/>
      <c r="AU1633" s="161"/>
      <c r="AV1633" s="156"/>
      <c r="AW1633" s="162"/>
      <c r="AX1633" s="163"/>
      <c r="AY1633" s="164"/>
      <c r="AZ1633" s="159"/>
      <c r="BA1633" s="161"/>
      <c r="BB1633" s="165"/>
      <c r="BE1633" s="155"/>
    </row>
    <row r="1634" spans="1:57" s="154" customFormat="1" ht="15" customHeight="1">
      <c r="A1634" s="153" t="s">
        <v>6114</v>
      </c>
      <c r="B1634" s="169" t="s">
        <v>6133</v>
      </c>
      <c r="C1634" s="154" t="s">
        <v>6116</v>
      </c>
      <c r="D1634" s="170">
        <v>115</v>
      </c>
      <c r="E1634" s="154">
        <v>2</v>
      </c>
      <c r="G1634" s="154" t="s">
        <v>6134</v>
      </c>
      <c r="J1634" s="154" t="s">
        <v>257</v>
      </c>
      <c r="K1634" s="154" t="s">
        <v>6149</v>
      </c>
      <c r="L1634" s="154">
        <v>0</v>
      </c>
      <c r="N1634" s="154">
        <v>6</v>
      </c>
      <c r="O1634" s="156"/>
      <c r="P1634" s="157"/>
      <c r="Q1634" s="158">
        <v>1</v>
      </c>
      <c r="R1634" s="159"/>
      <c r="S1634" s="160"/>
      <c r="T1634" s="161"/>
      <c r="U1634" s="156"/>
      <c r="V1634" s="162"/>
      <c r="W1634" s="163"/>
      <c r="X1634" s="164"/>
      <c r="Y1634" s="159"/>
      <c r="Z1634" s="161"/>
      <c r="AA1634" s="165"/>
      <c r="AB1634" s="154" t="s">
        <v>206</v>
      </c>
      <c r="AC1634" s="154" t="s">
        <v>322</v>
      </c>
      <c r="AD1634" s="154" t="s">
        <v>923</v>
      </c>
      <c r="AF1634" s="154" t="s">
        <v>6150</v>
      </c>
      <c r="AO1634" s="155"/>
      <c r="AQ1634" s="156"/>
      <c r="AR1634" s="157"/>
      <c r="AS1634" s="158"/>
      <c r="AT1634" s="159"/>
      <c r="AU1634" s="161"/>
      <c r="AV1634" s="156"/>
      <c r="AW1634" s="162"/>
      <c r="AX1634" s="163"/>
      <c r="AY1634" s="164"/>
      <c r="AZ1634" s="159"/>
      <c r="BA1634" s="161"/>
      <c r="BB1634" s="165"/>
      <c r="BE1634" s="155"/>
    </row>
    <row r="1635" spans="1:57" s="154" customFormat="1" ht="15" customHeight="1">
      <c r="A1635" s="153" t="s">
        <v>6114</v>
      </c>
      <c r="B1635" s="153" t="s">
        <v>6135</v>
      </c>
      <c r="C1635" s="154" t="s">
        <v>6116</v>
      </c>
      <c r="D1635" s="170">
        <v>116</v>
      </c>
      <c r="E1635" s="154">
        <v>2</v>
      </c>
      <c r="G1635" s="154" t="s">
        <v>6136</v>
      </c>
      <c r="J1635" s="154" t="s">
        <v>257</v>
      </c>
      <c r="K1635" s="154" t="s">
        <v>6151</v>
      </c>
      <c r="L1635" s="154">
        <v>0</v>
      </c>
      <c r="N1635" s="154">
        <v>1</v>
      </c>
      <c r="O1635" s="156"/>
      <c r="P1635" s="157">
        <v>1</v>
      </c>
      <c r="Q1635" s="158"/>
      <c r="R1635" s="159"/>
      <c r="S1635" s="160"/>
      <c r="T1635" s="161"/>
      <c r="U1635" s="156"/>
      <c r="V1635" s="162"/>
      <c r="W1635" s="163"/>
      <c r="X1635" s="164"/>
      <c r="Y1635" s="159"/>
      <c r="Z1635" s="161"/>
      <c r="AA1635" s="165"/>
      <c r="AB1635" s="154" t="s">
        <v>205</v>
      </c>
      <c r="AC1635" s="154" t="s">
        <v>258</v>
      </c>
      <c r="AD1635" s="154" t="s">
        <v>269</v>
      </c>
      <c r="AF1635" s="154" t="s">
        <v>6152</v>
      </c>
      <c r="AO1635" s="155"/>
      <c r="AQ1635" s="156"/>
      <c r="AR1635" s="157"/>
      <c r="AS1635" s="158"/>
      <c r="AT1635" s="159"/>
      <c r="AU1635" s="161"/>
      <c r="AV1635" s="156"/>
      <c r="AW1635" s="162"/>
      <c r="AX1635" s="163"/>
      <c r="AY1635" s="164"/>
      <c r="AZ1635" s="159"/>
      <c r="BA1635" s="161"/>
      <c r="BB1635" s="165"/>
      <c r="BE1635" s="155"/>
    </row>
    <row r="1636" spans="1:57" s="154" customFormat="1" ht="15" customHeight="1">
      <c r="A1636" s="153" t="s">
        <v>6114</v>
      </c>
      <c r="B1636" s="153" t="s">
        <v>6137</v>
      </c>
      <c r="C1636" s="154" t="s">
        <v>6116</v>
      </c>
      <c r="D1636" s="170">
        <v>117</v>
      </c>
      <c r="E1636" s="154">
        <v>2</v>
      </c>
      <c r="G1636" s="154" t="s">
        <v>6138</v>
      </c>
      <c r="J1636" s="154" t="s">
        <v>257</v>
      </c>
      <c r="K1636" s="154" t="s">
        <v>6153</v>
      </c>
      <c r="L1636" s="154">
        <v>0</v>
      </c>
      <c r="N1636" s="172">
        <v>3</v>
      </c>
      <c r="O1636" s="156">
        <v>1</v>
      </c>
      <c r="P1636" s="157"/>
      <c r="Q1636" s="158"/>
      <c r="R1636" s="159"/>
      <c r="S1636" s="160"/>
      <c r="T1636" s="161"/>
      <c r="U1636" s="156"/>
      <c r="V1636" s="162"/>
      <c r="W1636" s="163"/>
      <c r="X1636" s="164"/>
      <c r="Y1636" s="159"/>
      <c r="Z1636" s="161"/>
      <c r="AA1636" s="165"/>
      <c r="AB1636" s="154" t="s">
        <v>204</v>
      </c>
      <c r="AD1636" s="154" t="s">
        <v>1408</v>
      </c>
      <c r="AF1636" s="154" t="s">
        <v>6154</v>
      </c>
      <c r="AO1636" s="155"/>
      <c r="AQ1636" s="156"/>
      <c r="AR1636" s="157"/>
      <c r="AS1636" s="158"/>
      <c r="AT1636" s="159"/>
      <c r="AU1636" s="161"/>
      <c r="AV1636" s="156"/>
      <c r="AW1636" s="162"/>
      <c r="AX1636" s="163"/>
      <c r="AY1636" s="164"/>
      <c r="AZ1636" s="159"/>
      <c r="BA1636" s="161"/>
      <c r="BB1636" s="165"/>
      <c r="BE1636" s="155"/>
    </row>
    <row r="1637" spans="1:57" s="154" customFormat="1" ht="15" customHeight="1">
      <c r="A1637" s="153" t="s">
        <v>6114</v>
      </c>
      <c r="B1637" s="153" t="s">
        <v>6139</v>
      </c>
      <c r="C1637" s="154" t="s">
        <v>6116</v>
      </c>
      <c r="D1637" s="170">
        <v>118</v>
      </c>
      <c r="E1637" s="154">
        <v>2</v>
      </c>
      <c r="G1637" s="154" t="s">
        <v>6140</v>
      </c>
      <c r="J1637" s="154" t="s">
        <v>257</v>
      </c>
      <c r="K1637" s="154" t="s">
        <v>6155</v>
      </c>
      <c r="L1637" s="154">
        <v>0</v>
      </c>
      <c r="N1637" s="154">
        <v>3</v>
      </c>
      <c r="O1637" s="156"/>
      <c r="P1637" s="157"/>
      <c r="Q1637" s="158">
        <v>1</v>
      </c>
      <c r="R1637" s="159"/>
      <c r="S1637" s="160"/>
      <c r="T1637" s="161"/>
      <c r="U1637" s="156"/>
      <c r="V1637" s="162"/>
      <c r="W1637" s="163"/>
      <c r="X1637" s="164"/>
      <c r="Y1637" s="159"/>
      <c r="Z1637" s="161"/>
      <c r="AA1637" s="165"/>
      <c r="AB1637" s="154" t="s">
        <v>206</v>
      </c>
      <c r="AC1637" s="154" t="s">
        <v>6141</v>
      </c>
      <c r="AD1637" s="154" t="s">
        <v>2615</v>
      </c>
      <c r="AF1637" s="154" t="s">
        <v>6156</v>
      </c>
      <c r="AO1637" s="155"/>
      <c r="AQ1637" s="156"/>
      <c r="AR1637" s="157"/>
      <c r="AS1637" s="158"/>
      <c r="AT1637" s="159"/>
      <c r="AU1637" s="161"/>
      <c r="AV1637" s="156"/>
      <c r="AW1637" s="162"/>
      <c r="AX1637" s="163"/>
      <c r="AY1637" s="164"/>
      <c r="AZ1637" s="159"/>
      <c r="BA1637" s="161"/>
      <c r="BB1637" s="165"/>
      <c r="BE1637" s="155"/>
    </row>
    <row r="1638" spans="1:57" s="154" customFormat="1" ht="15" customHeight="1">
      <c r="A1638" s="153" t="s">
        <v>6114</v>
      </c>
      <c r="B1638" s="153" t="s">
        <v>6142</v>
      </c>
      <c r="C1638" s="154" t="s">
        <v>6116</v>
      </c>
      <c r="D1638" s="170">
        <v>119</v>
      </c>
      <c r="E1638" s="154">
        <v>2</v>
      </c>
      <c r="G1638" s="154" t="s">
        <v>6143</v>
      </c>
      <c r="J1638" s="154" t="s">
        <v>257</v>
      </c>
      <c r="K1638" s="154" t="s">
        <v>6157</v>
      </c>
      <c r="L1638" s="154">
        <v>0</v>
      </c>
      <c r="N1638" s="154">
        <v>3</v>
      </c>
      <c r="O1638" s="156"/>
      <c r="P1638" s="157"/>
      <c r="Q1638" s="158"/>
      <c r="R1638" s="159">
        <v>1</v>
      </c>
      <c r="S1638" s="160"/>
      <c r="T1638" s="161"/>
      <c r="U1638" s="156"/>
      <c r="V1638" s="162"/>
      <c r="W1638" s="163"/>
      <c r="X1638" s="164"/>
      <c r="Y1638" s="159"/>
      <c r="Z1638" s="161"/>
      <c r="AA1638" s="165"/>
      <c r="AB1638" s="154" t="s">
        <v>207</v>
      </c>
      <c r="AC1638" s="154" t="s">
        <v>275</v>
      </c>
      <c r="AD1638" s="154" t="s">
        <v>375</v>
      </c>
      <c r="AF1638" s="154" t="s">
        <v>6158</v>
      </c>
      <c r="AO1638" s="155"/>
      <c r="AQ1638" s="156"/>
      <c r="AR1638" s="157"/>
      <c r="AS1638" s="158"/>
      <c r="AT1638" s="159"/>
      <c r="AU1638" s="161"/>
      <c r="AV1638" s="156"/>
      <c r="AW1638" s="162"/>
      <c r="AX1638" s="163"/>
      <c r="AY1638" s="164"/>
      <c r="AZ1638" s="159"/>
      <c r="BA1638" s="161"/>
      <c r="BB1638" s="165"/>
      <c r="BE1638" s="15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AM1639:AM1048576 K1639:K1048576">
    <cfRule type="cellIs" dxfId="2119" priority="4360" operator="equal">
      <formula>"Seeker"</formula>
    </cfRule>
    <cfRule type="cellIs" dxfId="2118" priority="4361" operator="equal">
      <formula>"Neutral"</formula>
    </cfRule>
    <cfRule type="cellIs" dxfId="2117" priority="4362" operator="equal">
      <formula>"Rogue"</formula>
    </cfRule>
    <cfRule type="cellIs" dxfId="2116" priority="4363" operator="equal">
      <formula>"Guardian"</formula>
    </cfRule>
    <cfRule type="cellIs" dxfId="2115" priority="4364" operator="equal">
      <formula>"Survivor"</formula>
    </cfRule>
    <cfRule type="cellIs" dxfId="2114" priority="4365" operator="equal">
      <formula>"Mystic"</formula>
    </cfRule>
  </conditionalFormatting>
  <conditionalFormatting sqref="K2:K99 K101:K104 K234:K347 AM1565:AM1593 K1558:K1597 AM1595:AM1597">
    <cfRule type="cellIs" dxfId="2113" priority="4354" operator="equal">
      <formula>"seeker"</formula>
    </cfRule>
    <cfRule type="cellIs" dxfId="2112" priority="4355" operator="equal">
      <formula>"neutral"</formula>
    </cfRule>
    <cfRule type="cellIs" dxfId="2111" priority="4356" operator="equal">
      <formula>"rogue"</formula>
    </cfRule>
    <cfRule type="cellIs" dxfId="2110" priority="4357" operator="equal">
      <formula>"Guardian"</formula>
    </cfRule>
    <cfRule type="cellIs" dxfId="2109" priority="4358" operator="equal">
      <formula>"Survivor"</formula>
    </cfRule>
    <cfRule type="cellIs" dxfId="2108" priority="4359" operator="equal">
      <formula>"Mystic"</formula>
    </cfRule>
  </conditionalFormatting>
  <conditionalFormatting sqref="K134:K152 K158:K169 K171:K193 K105:K122 K195:K232 K124:K132">
    <cfRule type="cellIs" dxfId="2107" priority="4348" operator="equal">
      <formula>"seeker"</formula>
    </cfRule>
    <cfRule type="cellIs" dxfId="2106" priority="4349" operator="equal">
      <formula>"neutral"</formula>
    </cfRule>
    <cfRule type="cellIs" dxfId="2105" priority="4350" operator="equal">
      <formula>"rogue"</formula>
    </cfRule>
    <cfRule type="cellIs" dxfId="2104" priority="4351" operator="equal">
      <formula>"Guardian"</formula>
    </cfRule>
    <cfRule type="cellIs" dxfId="2103" priority="4352" operator="equal">
      <formula>"Survivor"</formula>
    </cfRule>
    <cfRule type="cellIs" dxfId="2102" priority="4353" operator="equal">
      <formula>"Mystic"</formula>
    </cfRule>
  </conditionalFormatting>
  <conditionalFormatting sqref="K100">
    <cfRule type="cellIs" dxfId="2101" priority="4342" operator="equal">
      <formula>"seeker"</formula>
    </cfRule>
    <cfRule type="cellIs" dxfId="2100" priority="4343" operator="equal">
      <formula>"neutral"</formula>
    </cfRule>
    <cfRule type="cellIs" dxfId="2099" priority="4344" operator="equal">
      <formula>"rogue"</formula>
    </cfRule>
    <cfRule type="cellIs" dxfId="2098" priority="4345" operator="equal">
      <formula>"Guardian"</formula>
    </cfRule>
    <cfRule type="cellIs" dxfId="2097" priority="4346" operator="equal">
      <formula>"Survivor"</formula>
    </cfRule>
    <cfRule type="cellIs" dxfId="2096" priority="4347" operator="equal">
      <formula>"Mystic"</formula>
    </cfRule>
  </conditionalFormatting>
  <conditionalFormatting sqref="AM112:AM116">
    <cfRule type="cellIs" dxfId="2095" priority="4336" operator="equal">
      <formula>"seeker"</formula>
    </cfRule>
    <cfRule type="cellIs" dxfId="2094" priority="4337" operator="equal">
      <formula>"neutral"</formula>
    </cfRule>
    <cfRule type="cellIs" dxfId="2093" priority="4338" operator="equal">
      <formula>"rogue"</formula>
    </cfRule>
    <cfRule type="cellIs" dxfId="2092" priority="4339" operator="equal">
      <formula>"Guardian"</formula>
    </cfRule>
    <cfRule type="cellIs" dxfId="2091" priority="4340" operator="equal">
      <formula>"Survivor"</formula>
    </cfRule>
    <cfRule type="cellIs" dxfId="2090" priority="4341" operator="equal">
      <formula>"Mystic"</formula>
    </cfRule>
  </conditionalFormatting>
  <conditionalFormatting sqref="AM130:AM131">
    <cfRule type="cellIs" dxfId="2089" priority="4330" operator="equal">
      <formula>"seeker"</formula>
    </cfRule>
    <cfRule type="cellIs" dxfId="2088" priority="4331" operator="equal">
      <formula>"neutral"</formula>
    </cfRule>
    <cfRule type="cellIs" dxfId="2087" priority="4332" operator="equal">
      <formula>"rogue"</formula>
    </cfRule>
    <cfRule type="cellIs" dxfId="2086" priority="4333" operator="equal">
      <formula>"Guardian"</formula>
    </cfRule>
    <cfRule type="cellIs" dxfId="2085" priority="4334" operator="equal">
      <formula>"Survivor"</formula>
    </cfRule>
    <cfRule type="cellIs" dxfId="2084" priority="4335" operator="equal">
      <formula>"Mystic"</formula>
    </cfRule>
  </conditionalFormatting>
  <conditionalFormatting sqref="AL133">
    <cfRule type="cellIs" dxfId="2083" priority="4324" operator="equal">
      <formula>"Seeker"</formula>
    </cfRule>
    <cfRule type="cellIs" dxfId="2082" priority="4325" operator="equal">
      <formula>"Neutral"</formula>
    </cfRule>
    <cfRule type="cellIs" dxfId="2081" priority="4326" operator="equal">
      <formula>"Rogue"</formula>
    </cfRule>
    <cfRule type="cellIs" dxfId="2080" priority="4327" operator="equal">
      <formula>"Guardian"</formula>
    </cfRule>
    <cfRule type="cellIs" dxfId="2079" priority="4328" operator="equal">
      <formula>"Survivor"</formula>
    </cfRule>
    <cfRule type="cellIs" dxfId="2078" priority="4329" operator="equal">
      <formula>"Mystic"</formula>
    </cfRule>
  </conditionalFormatting>
  <conditionalFormatting sqref="K133">
    <cfRule type="cellIs" dxfId="2077" priority="4318" operator="equal">
      <formula>"seeker"</formula>
    </cfRule>
    <cfRule type="cellIs" dxfId="2076" priority="4319" operator="equal">
      <formula>"neutral"</formula>
    </cfRule>
    <cfRule type="cellIs" dxfId="2075" priority="4320" operator="equal">
      <formula>"rogue"</formula>
    </cfRule>
    <cfRule type="cellIs" dxfId="2074" priority="4321" operator="equal">
      <formula>"Guardian"</formula>
    </cfRule>
    <cfRule type="cellIs" dxfId="2073" priority="4322" operator="equal">
      <formula>"Survivor"</formula>
    </cfRule>
    <cfRule type="cellIs" dxfId="2072" priority="4323" operator="equal">
      <formula>"Mystic"</formula>
    </cfRule>
  </conditionalFormatting>
  <conditionalFormatting sqref="AM151:AM152 AM158:AM159">
    <cfRule type="cellIs" dxfId="2071" priority="4312" operator="equal">
      <formula>"seeker"</formula>
    </cfRule>
    <cfRule type="cellIs" dxfId="2070" priority="4313" operator="equal">
      <formula>"neutral"</formula>
    </cfRule>
    <cfRule type="cellIs" dxfId="2069" priority="4314" operator="equal">
      <formula>"rogue"</formula>
    </cfRule>
    <cfRule type="cellIs" dxfId="2068" priority="4315" operator="equal">
      <formula>"Guardian"</formula>
    </cfRule>
    <cfRule type="cellIs" dxfId="2067" priority="4316" operator="equal">
      <formula>"Survivor"</formula>
    </cfRule>
    <cfRule type="cellIs" dxfId="2066" priority="4317" operator="equal">
      <formula>"Mystic"</formula>
    </cfRule>
  </conditionalFormatting>
  <conditionalFormatting sqref="K153">
    <cfRule type="cellIs" dxfId="2065" priority="4306" operator="equal">
      <formula>"seeker"</formula>
    </cfRule>
    <cfRule type="cellIs" dxfId="2064" priority="4307" operator="equal">
      <formula>"neutral"</formula>
    </cfRule>
    <cfRule type="cellIs" dxfId="2063" priority="4308" operator="equal">
      <formula>"rogue"</formula>
    </cfRule>
    <cfRule type="cellIs" dxfId="2062" priority="4309" operator="equal">
      <formula>"Guardian"</formula>
    </cfRule>
    <cfRule type="cellIs" dxfId="2061" priority="4310" operator="equal">
      <formula>"Survivor"</formula>
    </cfRule>
    <cfRule type="cellIs" dxfId="2060" priority="4311" operator="equal">
      <formula>"Mystic"</formula>
    </cfRule>
  </conditionalFormatting>
  <conditionalFormatting sqref="AM153">
    <cfRule type="cellIs" dxfId="2059" priority="4300" operator="equal">
      <formula>"seeker"</formula>
    </cfRule>
    <cfRule type="cellIs" dxfId="2058" priority="4301" operator="equal">
      <formula>"neutral"</formula>
    </cfRule>
    <cfRule type="cellIs" dxfId="2057" priority="4302" operator="equal">
      <formula>"rogue"</formula>
    </cfRule>
    <cfRule type="cellIs" dxfId="2056" priority="4303" operator="equal">
      <formula>"Guardian"</formula>
    </cfRule>
    <cfRule type="cellIs" dxfId="2055" priority="4304" operator="equal">
      <formula>"Survivor"</formula>
    </cfRule>
    <cfRule type="cellIs" dxfId="2054" priority="4305" operator="equal">
      <formula>"Mystic"</formula>
    </cfRule>
  </conditionalFormatting>
  <conditionalFormatting sqref="K154">
    <cfRule type="cellIs" dxfId="2053" priority="4294" operator="equal">
      <formula>"seeker"</formula>
    </cfRule>
    <cfRule type="cellIs" dxfId="2052" priority="4295" operator="equal">
      <formula>"neutral"</formula>
    </cfRule>
    <cfRule type="cellIs" dxfId="2051" priority="4296" operator="equal">
      <formula>"rogue"</formula>
    </cfRule>
    <cfRule type="cellIs" dxfId="2050" priority="4297" operator="equal">
      <formula>"Guardian"</formula>
    </cfRule>
    <cfRule type="cellIs" dxfId="2049" priority="4298" operator="equal">
      <formula>"Survivor"</formula>
    </cfRule>
    <cfRule type="cellIs" dxfId="2048" priority="4299" operator="equal">
      <formula>"Mystic"</formula>
    </cfRule>
  </conditionalFormatting>
  <conditionalFormatting sqref="AM154">
    <cfRule type="cellIs" dxfId="2047" priority="4288" operator="equal">
      <formula>"seeker"</formula>
    </cfRule>
    <cfRule type="cellIs" dxfId="2046" priority="4289" operator="equal">
      <formula>"neutral"</formula>
    </cfRule>
    <cfRule type="cellIs" dxfId="2045" priority="4290" operator="equal">
      <formula>"rogue"</formula>
    </cfRule>
    <cfRule type="cellIs" dxfId="2044" priority="4291" operator="equal">
      <formula>"Guardian"</formula>
    </cfRule>
    <cfRule type="cellIs" dxfId="2043" priority="4292" operator="equal">
      <formula>"Survivor"</formula>
    </cfRule>
    <cfRule type="cellIs" dxfId="2042" priority="4293" operator="equal">
      <formula>"Mystic"</formula>
    </cfRule>
  </conditionalFormatting>
  <conditionalFormatting sqref="K155">
    <cfRule type="cellIs" dxfId="2041" priority="4282" operator="equal">
      <formula>"seeker"</formula>
    </cfRule>
    <cfRule type="cellIs" dxfId="2040" priority="4283" operator="equal">
      <formula>"neutral"</formula>
    </cfRule>
    <cfRule type="cellIs" dxfId="2039" priority="4284" operator="equal">
      <formula>"rogue"</formula>
    </cfRule>
    <cfRule type="cellIs" dxfId="2038" priority="4285" operator="equal">
      <formula>"Guardian"</formula>
    </cfRule>
    <cfRule type="cellIs" dxfId="2037" priority="4286" operator="equal">
      <formula>"Survivor"</formula>
    </cfRule>
    <cfRule type="cellIs" dxfId="2036" priority="4287" operator="equal">
      <formula>"Mystic"</formula>
    </cfRule>
  </conditionalFormatting>
  <conditionalFormatting sqref="AM155">
    <cfRule type="cellIs" dxfId="2035" priority="4276" operator="equal">
      <formula>"seeker"</formula>
    </cfRule>
    <cfRule type="cellIs" dxfId="2034" priority="4277" operator="equal">
      <formula>"neutral"</formula>
    </cfRule>
    <cfRule type="cellIs" dxfId="2033" priority="4278" operator="equal">
      <formula>"rogue"</formula>
    </cfRule>
    <cfRule type="cellIs" dxfId="2032" priority="4279" operator="equal">
      <formula>"Guardian"</formula>
    </cfRule>
    <cfRule type="cellIs" dxfId="2031" priority="4280" operator="equal">
      <formula>"Survivor"</formula>
    </cfRule>
    <cfRule type="cellIs" dxfId="2030" priority="4281" operator="equal">
      <formula>"Mystic"</formula>
    </cfRule>
  </conditionalFormatting>
  <conditionalFormatting sqref="K156">
    <cfRule type="cellIs" dxfId="2029" priority="4270" operator="equal">
      <formula>"seeker"</formula>
    </cfRule>
    <cfRule type="cellIs" dxfId="2028" priority="4271" operator="equal">
      <formula>"neutral"</formula>
    </cfRule>
    <cfRule type="cellIs" dxfId="2027" priority="4272" operator="equal">
      <formula>"rogue"</formula>
    </cfRule>
    <cfRule type="cellIs" dxfId="2026" priority="4273" operator="equal">
      <formula>"Guardian"</formula>
    </cfRule>
    <cfRule type="cellIs" dxfId="2025" priority="4274" operator="equal">
      <formula>"Survivor"</formula>
    </cfRule>
    <cfRule type="cellIs" dxfId="2024" priority="4275" operator="equal">
      <formula>"Mystic"</formula>
    </cfRule>
  </conditionalFormatting>
  <conditionalFormatting sqref="AM156">
    <cfRule type="cellIs" dxfId="2023" priority="4264" operator="equal">
      <formula>"seeker"</formula>
    </cfRule>
    <cfRule type="cellIs" dxfId="2022" priority="4265" operator="equal">
      <formula>"neutral"</formula>
    </cfRule>
    <cfRule type="cellIs" dxfId="2021" priority="4266" operator="equal">
      <formula>"rogue"</formula>
    </cfRule>
    <cfRule type="cellIs" dxfId="2020" priority="4267" operator="equal">
      <formula>"Guardian"</formula>
    </cfRule>
    <cfRule type="cellIs" dxfId="2019" priority="4268" operator="equal">
      <formula>"Survivor"</formula>
    </cfRule>
    <cfRule type="cellIs" dxfId="2018" priority="4269" operator="equal">
      <formula>"Mystic"</formula>
    </cfRule>
  </conditionalFormatting>
  <conditionalFormatting sqref="K157">
    <cfRule type="cellIs" dxfId="2017" priority="4258" operator="equal">
      <formula>"seeker"</formula>
    </cfRule>
    <cfRule type="cellIs" dxfId="2016" priority="4259" operator="equal">
      <formula>"neutral"</formula>
    </cfRule>
    <cfRule type="cellIs" dxfId="2015" priority="4260" operator="equal">
      <formula>"rogue"</formula>
    </cfRule>
    <cfRule type="cellIs" dxfId="2014" priority="4261" operator="equal">
      <formula>"Guardian"</formula>
    </cfRule>
    <cfRule type="cellIs" dxfId="2013" priority="4262" operator="equal">
      <formula>"Survivor"</formula>
    </cfRule>
    <cfRule type="cellIs" dxfId="2012" priority="4263" operator="equal">
      <formula>"Mystic"</formula>
    </cfRule>
  </conditionalFormatting>
  <conditionalFormatting sqref="AM157">
    <cfRule type="cellIs" dxfId="2011" priority="4252" operator="equal">
      <formula>"seeker"</formula>
    </cfRule>
    <cfRule type="cellIs" dxfId="2010" priority="4253" operator="equal">
      <formula>"neutral"</formula>
    </cfRule>
    <cfRule type="cellIs" dxfId="2009" priority="4254" operator="equal">
      <formula>"rogue"</formula>
    </cfRule>
    <cfRule type="cellIs" dxfId="2008" priority="4255" operator="equal">
      <formula>"Guardian"</formula>
    </cfRule>
    <cfRule type="cellIs" dxfId="2007" priority="4256" operator="equal">
      <formula>"Survivor"</formula>
    </cfRule>
    <cfRule type="cellIs" dxfId="2006" priority="4257" operator="equal">
      <formula>"Mystic"</formula>
    </cfRule>
  </conditionalFormatting>
  <conditionalFormatting sqref="K170">
    <cfRule type="cellIs" dxfId="2005" priority="4246" operator="equal">
      <formula>"seeker"</formula>
    </cfRule>
    <cfRule type="cellIs" dxfId="2004" priority="4247" operator="equal">
      <formula>"neutral"</formula>
    </cfRule>
    <cfRule type="cellIs" dxfId="2003" priority="4248" operator="equal">
      <formula>"rogue"</formula>
    </cfRule>
    <cfRule type="cellIs" dxfId="2002" priority="4249" operator="equal">
      <formula>"Guardian"</formula>
    </cfRule>
    <cfRule type="cellIs" dxfId="2001" priority="4250" operator="equal">
      <formula>"Survivor"</formula>
    </cfRule>
    <cfRule type="cellIs" dxfId="2000" priority="4251" operator="equal">
      <formula>"Mystic"</formula>
    </cfRule>
  </conditionalFormatting>
  <conditionalFormatting sqref="AL190">
    <cfRule type="cellIs" dxfId="1999" priority="4234" operator="equal">
      <formula>"Seeker"</formula>
    </cfRule>
    <cfRule type="cellIs" dxfId="1998" priority="4235" operator="equal">
      <formula>"Neutral"</formula>
    </cfRule>
    <cfRule type="cellIs" dxfId="1997" priority="4236" operator="equal">
      <formula>"Rogue"</formula>
    </cfRule>
    <cfRule type="cellIs" dxfId="1996" priority="4237" operator="equal">
      <formula>"Guardian"</formula>
    </cfRule>
    <cfRule type="cellIs" dxfId="1995" priority="4238" operator="equal">
      <formula>"Survivor"</formula>
    </cfRule>
    <cfRule type="cellIs" dxfId="1994" priority="4239" operator="equal">
      <formula>"Mystic"</formula>
    </cfRule>
  </conditionalFormatting>
  <conditionalFormatting sqref="AM191">
    <cfRule type="cellIs" dxfId="1993" priority="4228" operator="equal">
      <formula>"seeker"</formula>
    </cfRule>
    <cfRule type="cellIs" dxfId="1992" priority="4229" operator="equal">
      <formula>"neutral"</formula>
    </cfRule>
    <cfRule type="cellIs" dxfId="1991" priority="4230" operator="equal">
      <formula>"rogue"</formula>
    </cfRule>
    <cfRule type="cellIs" dxfId="1990" priority="4231" operator="equal">
      <formula>"Guardian"</formula>
    </cfRule>
    <cfRule type="cellIs" dxfId="1989" priority="4232" operator="equal">
      <formula>"Survivor"</formula>
    </cfRule>
    <cfRule type="cellIs" dxfId="1988" priority="4233" operator="equal">
      <formula>"Mystic"</formula>
    </cfRule>
  </conditionalFormatting>
  <conditionalFormatting sqref="AM193">
    <cfRule type="cellIs" dxfId="1987" priority="4222" operator="equal">
      <formula>"seeker"</formula>
    </cfRule>
    <cfRule type="cellIs" dxfId="1986" priority="4223" operator="equal">
      <formula>"neutral"</formula>
    </cfRule>
    <cfRule type="cellIs" dxfId="1985" priority="4224" operator="equal">
      <formula>"rogue"</formula>
    </cfRule>
    <cfRule type="cellIs" dxfId="1984" priority="4225" operator="equal">
      <formula>"Guardian"</formula>
    </cfRule>
    <cfRule type="cellIs" dxfId="1983" priority="4226" operator="equal">
      <formula>"Survivor"</formula>
    </cfRule>
    <cfRule type="cellIs" dxfId="1982" priority="4227" operator="equal">
      <formula>"Mystic"</formula>
    </cfRule>
  </conditionalFormatting>
  <conditionalFormatting sqref="K194">
    <cfRule type="cellIs" dxfId="1981" priority="4216" operator="equal">
      <formula>"seeker"</formula>
    </cfRule>
    <cfRule type="cellIs" dxfId="1980" priority="4217" operator="equal">
      <formula>"neutral"</formula>
    </cfRule>
    <cfRule type="cellIs" dxfId="1979" priority="4218" operator="equal">
      <formula>"rogue"</formula>
    </cfRule>
    <cfRule type="cellIs" dxfId="1978" priority="4219" operator="equal">
      <formula>"Guardian"</formula>
    </cfRule>
    <cfRule type="cellIs" dxfId="1977" priority="4220" operator="equal">
      <formula>"Survivor"</formula>
    </cfRule>
    <cfRule type="cellIs" dxfId="1976" priority="4221" operator="equal">
      <formula>"Mystic"</formula>
    </cfRule>
  </conditionalFormatting>
  <conditionalFormatting sqref="AM195">
    <cfRule type="cellIs" dxfId="1975" priority="4210" operator="equal">
      <formula>"seeker"</formula>
    </cfRule>
    <cfRule type="cellIs" dxfId="1974" priority="4211" operator="equal">
      <formula>"neutral"</formula>
    </cfRule>
    <cfRule type="cellIs" dxfId="1973" priority="4212" operator="equal">
      <formula>"rogue"</formula>
    </cfRule>
    <cfRule type="cellIs" dxfId="1972" priority="4213" operator="equal">
      <formula>"Guardian"</formula>
    </cfRule>
    <cfRule type="cellIs" dxfId="1971" priority="4214" operator="equal">
      <formula>"Survivor"</formula>
    </cfRule>
    <cfRule type="cellIs" dxfId="1970" priority="4215" operator="equal">
      <formula>"Mystic"</formula>
    </cfRule>
  </conditionalFormatting>
  <conditionalFormatting sqref="AM194">
    <cfRule type="cellIs" dxfId="1969" priority="4204" operator="equal">
      <formula>"seeker"</formula>
    </cfRule>
    <cfRule type="cellIs" dxfId="1968" priority="4205" operator="equal">
      <formula>"neutral"</formula>
    </cfRule>
    <cfRule type="cellIs" dxfId="1967" priority="4206" operator="equal">
      <formula>"rogue"</formula>
    </cfRule>
    <cfRule type="cellIs" dxfId="1966" priority="4207" operator="equal">
      <formula>"Guardian"</formula>
    </cfRule>
    <cfRule type="cellIs" dxfId="1965" priority="4208" operator="equal">
      <formula>"Survivor"</formula>
    </cfRule>
    <cfRule type="cellIs" dxfId="1964" priority="4209" operator="equal">
      <formula>"Mystic"</formula>
    </cfRule>
  </conditionalFormatting>
  <conditionalFormatting sqref="AL3">
    <cfRule type="cellIs" dxfId="1963" priority="4198" operator="equal">
      <formula>"Seeker"</formula>
    </cfRule>
    <cfRule type="cellIs" dxfId="1962" priority="4199" operator="equal">
      <formula>"Neutral"</formula>
    </cfRule>
    <cfRule type="cellIs" dxfId="1961" priority="4200" operator="equal">
      <formula>"Rogue"</formula>
    </cfRule>
    <cfRule type="cellIs" dxfId="1960" priority="4201" operator="equal">
      <formula>"Guardian"</formula>
    </cfRule>
    <cfRule type="cellIs" dxfId="1959" priority="4202" operator="equal">
      <formula>"Survivor"</formula>
    </cfRule>
    <cfRule type="cellIs" dxfId="1958" priority="4203" operator="equal">
      <formula>"Mystic"</formula>
    </cfRule>
  </conditionalFormatting>
  <conditionalFormatting sqref="AL4">
    <cfRule type="cellIs" dxfId="1957" priority="4192" operator="equal">
      <formula>"Seeker"</formula>
    </cfRule>
    <cfRule type="cellIs" dxfId="1956" priority="4193" operator="equal">
      <formula>"Neutral"</formula>
    </cfRule>
    <cfRule type="cellIs" dxfId="1955" priority="4194" operator="equal">
      <formula>"Rogue"</formula>
    </cfRule>
    <cfRule type="cellIs" dxfId="1954" priority="4195" operator="equal">
      <formula>"Guardian"</formula>
    </cfRule>
    <cfRule type="cellIs" dxfId="1953" priority="4196" operator="equal">
      <formula>"Survivor"</formula>
    </cfRule>
    <cfRule type="cellIs" dxfId="1952" priority="4197" operator="equal">
      <formula>"Mystic"</formula>
    </cfRule>
  </conditionalFormatting>
  <conditionalFormatting sqref="AL5">
    <cfRule type="cellIs" dxfId="1951" priority="4186" operator="equal">
      <formula>"Seeker"</formula>
    </cfRule>
    <cfRule type="cellIs" dxfId="1950" priority="4187" operator="equal">
      <formula>"Neutral"</formula>
    </cfRule>
    <cfRule type="cellIs" dxfId="1949" priority="4188" operator="equal">
      <formula>"Rogue"</formula>
    </cfRule>
    <cfRule type="cellIs" dxfId="1948" priority="4189" operator="equal">
      <formula>"Guardian"</formula>
    </cfRule>
    <cfRule type="cellIs" dxfId="1947" priority="4190" operator="equal">
      <formula>"Survivor"</formula>
    </cfRule>
    <cfRule type="cellIs" dxfId="1946" priority="4191" operator="equal">
      <formula>"Mystic"</formula>
    </cfRule>
  </conditionalFormatting>
  <conditionalFormatting sqref="AL6">
    <cfRule type="cellIs" dxfId="1945" priority="4180" operator="equal">
      <formula>"Seeker"</formula>
    </cfRule>
    <cfRule type="cellIs" dxfId="1944" priority="4181" operator="equal">
      <formula>"Neutral"</formula>
    </cfRule>
    <cfRule type="cellIs" dxfId="1943" priority="4182" operator="equal">
      <formula>"Rogue"</formula>
    </cfRule>
    <cfRule type="cellIs" dxfId="1942" priority="4183" operator="equal">
      <formula>"Guardian"</formula>
    </cfRule>
    <cfRule type="cellIs" dxfId="1941" priority="4184" operator="equal">
      <formula>"Survivor"</formula>
    </cfRule>
    <cfRule type="cellIs" dxfId="1940" priority="4185" operator="equal">
      <formula>"Mystic"</formula>
    </cfRule>
  </conditionalFormatting>
  <conditionalFormatting sqref="AL122">
    <cfRule type="cellIs" dxfId="1939" priority="4174" operator="equal">
      <formula>"Seeker"</formula>
    </cfRule>
    <cfRule type="cellIs" dxfId="1938" priority="4175" operator="equal">
      <formula>"Neutral"</formula>
    </cfRule>
    <cfRule type="cellIs" dxfId="1937" priority="4176" operator="equal">
      <formula>"Rogue"</formula>
    </cfRule>
    <cfRule type="cellIs" dxfId="1936" priority="4177" operator="equal">
      <formula>"Guardian"</formula>
    </cfRule>
    <cfRule type="cellIs" dxfId="1935" priority="4178" operator="equal">
      <formula>"Survivor"</formula>
    </cfRule>
    <cfRule type="cellIs" dxfId="1934" priority="4179" operator="equal">
      <formula>"Mystic"</formula>
    </cfRule>
  </conditionalFormatting>
  <conditionalFormatting sqref="AL123">
    <cfRule type="cellIs" dxfId="1933" priority="4168" operator="equal">
      <formula>"Seeker"</formula>
    </cfRule>
    <cfRule type="cellIs" dxfId="1932" priority="4169" operator="equal">
      <formula>"Neutral"</formula>
    </cfRule>
    <cfRule type="cellIs" dxfId="1931" priority="4170" operator="equal">
      <formula>"Rogue"</formula>
    </cfRule>
    <cfRule type="cellIs" dxfId="1930" priority="4171" operator="equal">
      <formula>"Guardian"</formula>
    </cfRule>
    <cfRule type="cellIs" dxfId="1929" priority="4172" operator="equal">
      <formula>"Survivor"</formula>
    </cfRule>
    <cfRule type="cellIs" dxfId="1928" priority="4173" operator="equal">
      <formula>"Mystic"</formula>
    </cfRule>
  </conditionalFormatting>
  <conditionalFormatting sqref="J123">
    <cfRule type="cellIs" dxfId="1927" priority="4162" operator="equal">
      <formula>"Seeker"</formula>
    </cfRule>
    <cfRule type="cellIs" dxfId="1926" priority="4163" operator="equal">
      <formula>"Neutral"</formula>
    </cfRule>
    <cfRule type="cellIs" dxfId="1925" priority="4164" operator="equal">
      <formula>"Rogue"</formula>
    </cfRule>
    <cfRule type="cellIs" dxfId="1924" priority="4165" operator="equal">
      <formula>"Guardian"</formula>
    </cfRule>
    <cfRule type="cellIs" dxfId="1923" priority="4166" operator="equal">
      <formula>"Survivor"</formula>
    </cfRule>
    <cfRule type="cellIs" dxfId="1922" priority="4167" operator="equal">
      <formula>"Mystic"</formula>
    </cfRule>
  </conditionalFormatting>
  <conditionalFormatting sqref="AM253">
    <cfRule type="cellIs" dxfId="1921" priority="4156" operator="equal">
      <formula>"seeker"</formula>
    </cfRule>
    <cfRule type="cellIs" dxfId="1920" priority="4157" operator="equal">
      <formula>"neutral"</formula>
    </cfRule>
    <cfRule type="cellIs" dxfId="1919" priority="4158" operator="equal">
      <formula>"rogue"</formula>
    </cfRule>
    <cfRule type="cellIs" dxfId="1918" priority="4159" operator="equal">
      <formula>"Guardian"</formula>
    </cfRule>
    <cfRule type="cellIs" dxfId="1917" priority="4160" operator="equal">
      <formula>"Survivor"</formula>
    </cfRule>
    <cfRule type="cellIs" dxfId="1916" priority="4161" operator="equal">
      <formula>"Mystic"</formula>
    </cfRule>
  </conditionalFormatting>
  <conditionalFormatting sqref="AM254">
    <cfRule type="cellIs" dxfId="1915" priority="4150" operator="equal">
      <formula>"seeker"</formula>
    </cfRule>
    <cfRule type="cellIs" dxfId="1914" priority="4151" operator="equal">
      <formula>"neutral"</formula>
    </cfRule>
    <cfRule type="cellIs" dxfId="1913" priority="4152" operator="equal">
      <formula>"rogue"</formula>
    </cfRule>
    <cfRule type="cellIs" dxfId="1912" priority="4153" operator="equal">
      <formula>"Guardian"</formula>
    </cfRule>
    <cfRule type="cellIs" dxfId="1911" priority="4154" operator="equal">
      <formula>"Survivor"</formula>
    </cfRule>
    <cfRule type="cellIs" dxfId="1910" priority="4155" operator="equal">
      <formula>"Mystic"</formula>
    </cfRule>
  </conditionalFormatting>
  <conditionalFormatting sqref="AM255">
    <cfRule type="cellIs" dxfId="1909" priority="4144" operator="equal">
      <formula>"seeker"</formula>
    </cfRule>
    <cfRule type="cellIs" dxfId="1908" priority="4145" operator="equal">
      <formula>"neutral"</formula>
    </cfRule>
    <cfRule type="cellIs" dxfId="1907" priority="4146" operator="equal">
      <formula>"rogue"</formula>
    </cfRule>
    <cfRule type="cellIs" dxfId="1906" priority="4147" operator="equal">
      <formula>"Guardian"</formula>
    </cfRule>
    <cfRule type="cellIs" dxfId="1905" priority="4148" operator="equal">
      <formula>"Survivor"</formula>
    </cfRule>
    <cfRule type="cellIs" dxfId="1904" priority="4149" operator="equal">
      <formula>"Mystic"</formula>
    </cfRule>
  </conditionalFormatting>
  <conditionalFormatting sqref="AM256">
    <cfRule type="cellIs" dxfId="1903" priority="4138" operator="equal">
      <formula>"seeker"</formula>
    </cfRule>
    <cfRule type="cellIs" dxfId="1902" priority="4139" operator="equal">
      <formula>"neutral"</formula>
    </cfRule>
    <cfRule type="cellIs" dxfId="1901" priority="4140" operator="equal">
      <formula>"rogue"</formula>
    </cfRule>
    <cfRule type="cellIs" dxfId="1900" priority="4141" operator="equal">
      <formula>"Guardian"</formula>
    </cfRule>
    <cfRule type="cellIs" dxfId="1899" priority="4142" operator="equal">
      <formula>"Survivor"</formula>
    </cfRule>
    <cfRule type="cellIs" dxfId="1898" priority="4143" operator="equal">
      <formula>"Mystic"</formula>
    </cfRule>
  </conditionalFormatting>
  <conditionalFormatting sqref="AM252">
    <cfRule type="cellIs" dxfId="1897" priority="4132" operator="equal">
      <formula>"seeker"</formula>
    </cfRule>
    <cfRule type="cellIs" dxfId="1896" priority="4133" operator="equal">
      <formula>"neutral"</formula>
    </cfRule>
    <cfRule type="cellIs" dxfId="1895" priority="4134" operator="equal">
      <formula>"rogue"</formula>
    </cfRule>
    <cfRule type="cellIs" dxfId="1894" priority="4135" operator="equal">
      <formula>"Guardian"</formula>
    </cfRule>
    <cfRule type="cellIs" dxfId="1893" priority="4136" operator="equal">
      <formula>"Survivor"</formula>
    </cfRule>
    <cfRule type="cellIs" dxfId="1892" priority="4137" operator="equal">
      <formula>"Mystic"</formula>
    </cfRule>
  </conditionalFormatting>
  <conditionalFormatting sqref="AM383:AM387">
    <cfRule type="cellIs" dxfId="1891" priority="4126" operator="equal">
      <formula>"Seeker"</formula>
    </cfRule>
    <cfRule type="cellIs" dxfId="1890" priority="4127" operator="equal">
      <formula>"Neutral"</formula>
    </cfRule>
    <cfRule type="cellIs" dxfId="1889" priority="4128" operator="equal">
      <formula>"Rogue"</formula>
    </cfRule>
    <cfRule type="cellIs" dxfId="1888" priority="4129" operator="equal">
      <formula>"Guardian"</formula>
    </cfRule>
    <cfRule type="cellIs" dxfId="1887" priority="4130" operator="equal">
      <formula>"Survivor"</formula>
    </cfRule>
    <cfRule type="cellIs" dxfId="1886" priority="4131" operator="equal">
      <formula>"Mystic"</formula>
    </cfRule>
  </conditionalFormatting>
  <conditionalFormatting sqref="K383:K387">
    <cfRule type="cellIs" dxfId="1885" priority="4120" operator="equal">
      <formula>"seeker"</formula>
    </cfRule>
    <cfRule type="cellIs" dxfId="1884" priority="4121" operator="equal">
      <formula>"neutral"</formula>
    </cfRule>
    <cfRule type="cellIs" dxfId="1883" priority="4122" operator="equal">
      <formula>"rogue"</formula>
    </cfRule>
    <cfRule type="cellIs" dxfId="1882" priority="4123" operator="equal">
      <formula>"Guardian"</formula>
    </cfRule>
    <cfRule type="cellIs" dxfId="1881" priority="4124" operator="equal">
      <formula>"Survivor"</formula>
    </cfRule>
    <cfRule type="cellIs" dxfId="1880" priority="4125" operator="equal">
      <formula>"Mystic"</formula>
    </cfRule>
  </conditionalFormatting>
  <conditionalFormatting sqref="AM233">
    <cfRule type="cellIs" dxfId="1879" priority="4114" operator="equal">
      <formula>"Seeker"</formula>
    </cfRule>
    <cfRule type="cellIs" dxfId="1878" priority="4115" operator="equal">
      <formula>"Neutral"</formula>
    </cfRule>
    <cfRule type="cellIs" dxfId="1877" priority="4116" operator="equal">
      <formula>"Rogue"</formula>
    </cfRule>
    <cfRule type="cellIs" dxfId="1876" priority="4117" operator="equal">
      <formula>"Guardian"</formula>
    </cfRule>
    <cfRule type="cellIs" dxfId="1875" priority="4118" operator="equal">
      <formula>"Survivor"</formula>
    </cfRule>
    <cfRule type="cellIs" dxfId="1874" priority="4119" operator="equal">
      <formula>"Mystic"</formula>
    </cfRule>
  </conditionalFormatting>
  <conditionalFormatting sqref="K233">
    <cfRule type="cellIs" dxfId="1873" priority="4108" operator="equal">
      <formula>"seeker"</formula>
    </cfRule>
    <cfRule type="cellIs" dxfId="1872" priority="4109" operator="equal">
      <formula>"neutral"</formula>
    </cfRule>
    <cfRule type="cellIs" dxfId="1871" priority="4110" operator="equal">
      <formula>"rogue"</formula>
    </cfRule>
    <cfRule type="cellIs" dxfId="1870" priority="4111" operator="equal">
      <formula>"Guardian"</formula>
    </cfRule>
    <cfRule type="cellIs" dxfId="1869" priority="4112" operator="equal">
      <formula>"Survivor"</formula>
    </cfRule>
    <cfRule type="cellIs" dxfId="1868" priority="4113" operator="equal">
      <formula>"Mystic"</formula>
    </cfRule>
  </conditionalFormatting>
  <conditionalFormatting sqref="K388:K429 AM388:AM429">
    <cfRule type="cellIs" dxfId="1867" priority="4102" operator="equal">
      <formula>"seeker"</formula>
    </cfRule>
    <cfRule type="cellIs" dxfId="1866" priority="4103" operator="equal">
      <formula>"neutral"</formula>
    </cfRule>
    <cfRule type="cellIs" dxfId="1865" priority="4104" operator="equal">
      <formula>"rogue"</formula>
    </cfRule>
    <cfRule type="cellIs" dxfId="1864" priority="4105" operator="equal">
      <formula>"Guardian"</formula>
    </cfRule>
    <cfRule type="cellIs" dxfId="1863" priority="4106" operator="equal">
      <formula>"Survivor"</formula>
    </cfRule>
    <cfRule type="cellIs" dxfId="1862" priority="4107" operator="equal">
      <formula>"Mystic"</formula>
    </cfRule>
  </conditionalFormatting>
  <conditionalFormatting sqref="K430:K466 AM430:AM442 AM450:AM466">
    <cfRule type="cellIs" dxfId="1861" priority="4096" operator="equal">
      <formula>"seeker"</formula>
    </cfRule>
    <cfRule type="cellIs" dxfId="1860" priority="4097" operator="equal">
      <formula>"neutral"</formula>
    </cfRule>
    <cfRule type="cellIs" dxfId="1859" priority="4098" operator="equal">
      <formula>"rogue"</formula>
    </cfRule>
    <cfRule type="cellIs" dxfId="1858" priority="4099" operator="equal">
      <formula>"Guardian"</formula>
    </cfRule>
    <cfRule type="cellIs" dxfId="1857" priority="4100" operator="equal">
      <formula>"Survivor"</formula>
    </cfRule>
    <cfRule type="cellIs" dxfId="1856" priority="4101" operator="equal">
      <formula>"Mystic"</formula>
    </cfRule>
  </conditionalFormatting>
  <conditionalFormatting sqref="AM443:AM449">
    <cfRule type="cellIs" dxfId="1855" priority="4090" operator="equal">
      <formula>"seeker"</formula>
    </cfRule>
    <cfRule type="cellIs" dxfId="1854" priority="4091" operator="equal">
      <formula>"neutral"</formula>
    </cfRule>
    <cfRule type="cellIs" dxfId="1853" priority="4092" operator="equal">
      <formula>"rogue"</formula>
    </cfRule>
    <cfRule type="cellIs" dxfId="1852" priority="4093" operator="equal">
      <formula>"Guardian"</formula>
    </cfRule>
    <cfRule type="cellIs" dxfId="1851" priority="4094" operator="equal">
      <formula>"Survivor"</formula>
    </cfRule>
    <cfRule type="cellIs" dxfId="1850" priority="4095" operator="equal">
      <formula>"Mystic"</formula>
    </cfRule>
  </conditionalFormatting>
  <conditionalFormatting sqref="AL737">
    <cfRule type="cellIs" dxfId="1849" priority="4054" operator="equal">
      <formula>"Seeker"</formula>
    </cfRule>
    <cfRule type="cellIs" dxfId="1848" priority="4055" operator="equal">
      <formula>"Neutral"</formula>
    </cfRule>
    <cfRule type="cellIs" dxfId="1847" priority="4056" operator="equal">
      <formula>"Rogue"</formula>
    </cfRule>
    <cfRule type="cellIs" dxfId="1846" priority="4057" operator="equal">
      <formula>"Guardian"</formula>
    </cfRule>
    <cfRule type="cellIs" dxfId="1845" priority="4058" operator="equal">
      <formula>"Survivor"</formula>
    </cfRule>
    <cfRule type="cellIs" dxfId="1844" priority="4059" operator="equal">
      <formula>"Mystic"</formula>
    </cfRule>
  </conditionalFormatting>
  <conditionalFormatting sqref="AL733 AL738:AL746 AL767:AL773">
    <cfRule type="cellIs" dxfId="1843" priority="4084" operator="equal">
      <formula>"Seeker"</formula>
    </cfRule>
    <cfRule type="cellIs" dxfId="1842" priority="4085" operator="equal">
      <formula>"Neutral"</formula>
    </cfRule>
    <cfRule type="cellIs" dxfId="1841" priority="4086" operator="equal">
      <formula>"Rogue"</formula>
    </cfRule>
    <cfRule type="cellIs" dxfId="1840" priority="4087" operator="equal">
      <formula>"Guardian"</formula>
    </cfRule>
    <cfRule type="cellIs" dxfId="1839" priority="4088" operator="equal">
      <formula>"Survivor"</formula>
    </cfRule>
    <cfRule type="cellIs" dxfId="1838" priority="4089" operator="equal">
      <formula>"Mystic"</formula>
    </cfRule>
  </conditionalFormatting>
  <conditionalFormatting sqref="K733:K773">
    <cfRule type="cellIs" dxfId="1837" priority="4078" operator="equal">
      <formula>"seeker"</formula>
    </cfRule>
    <cfRule type="cellIs" dxfId="1836" priority="4079" operator="equal">
      <formula>"neutral"</formula>
    </cfRule>
    <cfRule type="cellIs" dxfId="1835" priority="4080" operator="equal">
      <formula>"rogue"</formula>
    </cfRule>
    <cfRule type="cellIs" dxfId="1834" priority="4081" operator="equal">
      <formula>"Guardian"</formula>
    </cfRule>
    <cfRule type="cellIs" dxfId="1833" priority="4082" operator="equal">
      <formula>"Survivor"</formula>
    </cfRule>
    <cfRule type="cellIs" dxfId="1832" priority="4083" operator="equal">
      <formula>"Mystic"</formula>
    </cfRule>
  </conditionalFormatting>
  <conditionalFormatting sqref="AL734">
    <cfRule type="cellIs" dxfId="1831" priority="4072" operator="equal">
      <formula>"Seeker"</formula>
    </cfRule>
    <cfRule type="cellIs" dxfId="1830" priority="4073" operator="equal">
      <formula>"Neutral"</formula>
    </cfRule>
    <cfRule type="cellIs" dxfId="1829" priority="4074" operator="equal">
      <formula>"Rogue"</formula>
    </cfRule>
    <cfRule type="cellIs" dxfId="1828" priority="4075" operator="equal">
      <formula>"Guardian"</formula>
    </cfRule>
    <cfRule type="cellIs" dxfId="1827" priority="4076" operator="equal">
      <formula>"Survivor"</formula>
    </cfRule>
    <cfRule type="cellIs" dxfId="1826" priority="4077" operator="equal">
      <formula>"Mystic"</formula>
    </cfRule>
  </conditionalFormatting>
  <conditionalFormatting sqref="AL735">
    <cfRule type="cellIs" dxfId="1825" priority="4066" operator="equal">
      <formula>"Seeker"</formula>
    </cfRule>
    <cfRule type="cellIs" dxfId="1824" priority="4067" operator="equal">
      <formula>"Neutral"</formula>
    </cfRule>
    <cfRule type="cellIs" dxfId="1823" priority="4068" operator="equal">
      <formula>"Rogue"</formula>
    </cfRule>
    <cfRule type="cellIs" dxfId="1822" priority="4069" operator="equal">
      <formula>"Guardian"</formula>
    </cfRule>
    <cfRule type="cellIs" dxfId="1821" priority="4070" operator="equal">
      <formula>"Survivor"</formula>
    </cfRule>
    <cfRule type="cellIs" dxfId="1820" priority="4071" operator="equal">
      <formula>"Mystic"</formula>
    </cfRule>
  </conditionalFormatting>
  <conditionalFormatting sqref="AL736">
    <cfRule type="cellIs" dxfId="1819" priority="4060" operator="equal">
      <formula>"Seeker"</formula>
    </cfRule>
    <cfRule type="cellIs" dxfId="1818" priority="4061" operator="equal">
      <formula>"Neutral"</formula>
    </cfRule>
    <cfRule type="cellIs" dxfId="1817" priority="4062" operator="equal">
      <formula>"Rogue"</formula>
    </cfRule>
    <cfRule type="cellIs" dxfId="1816" priority="4063" operator="equal">
      <formula>"Guardian"</formula>
    </cfRule>
    <cfRule type="cellIs" dxfId="1815" priority="4064" operator="equal">
      <formula>"Survivor"</formula>
    </cfRule>
    <cfRule type="cellIs" dxfId="1814" priority="4065" operator="equal">
      <formula>"Mystic"</formula>
    </cfRule>
  </conditionalFormatting>
  <conditionalFormatting sqref="AM727:AM731">
    <cfRule type="cellIs" dxfId="1813" priority="4048" operator="equal">
      <formula>"Seeker"</formula>
    </cfRule>
    <cfRule type="cellIs" dxfId="1812" priority="4049" operator="equal">
      <formula>"Neutral"</formula>
    </cfRule>
    <cfRule type="cellIs" dxfId="1811" priority="4050" operator="equal">
      <formula>"Rogue"</formula>
    </cfRule>
    <cfRule type="cellIs" dxfId="1810" priority="4051" operator="equal">
      <formula>"Guardian"</formula>
    </cfRule>
    <cfRule type="cellIs" dxfId="1809" priority="4052" operator="equal">
      <formula>"Survivor"</formula>
    </cfRule>
    <cfRule type="cellIs" dxfId="1808" priority="4053" operator="equal">
      <formula>"Mystic"</formula>
    </cfRule>
  </conditionalFormatting>
  <conditionalFormatting sqref="K727:K731">
    <cfRule type="cellIs" dxfId="1807" priority="4042" operator="equal">
      <formula>"seeker"</formula>
    </cfRule>
    <cfRule type="cellIs" dxfId="1806" priority="4043" operator="equal">
      <formula>"neutral"</formula>
    </cfRule>
    <cfRule type="cellIs" dxfId="1805" priority="4044" operator="equal">
      <formula>"rogue"</formula>
    </cfRule>
    <cfRule type="cellIs" dxfId="1804" priority="4045" operator="equal">
      <formula>"Guardian"</formula>
    </cfRule>
    <cfRule type="cellIs" dxfId="1803" priority="4046" operator="equal">
      <formula>"Survivor"</formula>
    </cfRule>
    <cfRule type="cellIs" dxfId="1802" priority="4047" operator="equal">
      <formula>"Mystic"</formula>
    </cfRule>
  </conditionalFormatting>
  <conditionalFormatting sqref="AM732">
    <cfRule type="cellIs" dxfId="1801" priority="4036" operator="equal">
      <formula>"Seeker"</formula>
    </cfRule>
    <cfRule type="cellIs" dxfId="1800" priority="4037" operator="equal">
      <formula>"Neutral"</formula>
    </cfRule>
    <cfRule type="cellIs" dxfId="1799" priority="4038" operator="equal">
      <formula>"Rogue"</formula>
    </cfRule>
    <cfRule type="cellIs" dxfId="1798" priority="4039" operator="equal">
      <formula>"Guardian"</formula>
    </cfRule>
    <cfRule type="cellIs" dxfId="1797" priority="4040" operator="equal">
      <formula>"Survivor"</formula>
    </cfRule>
    <cfRule type="cellIs" dxfId="1796" priority="4041" operator="equal">
      <formula>"Mystic"</formula>
    </cfRule>
  </conditionalFormatting>
  <conditionalFormatting sqref="K732">
    <cfRule type="cellIs" dxfId="1795" priority="4030" operator="equal">
      <formula>"seeker"</formula>
    </cfRule>
    <cfRule type="cellIs" dxfId="1794" priority="4031" operator="equal">
      <formula>"neutral"</formula>
    </cfRule>
    <cfRule type="cellIs" dxfId="1793" priority="4032" operator="equal">
      <formula>"rogue"</formula>
    </cfRule>
    <cfRule type="cellIs" dxfId="1792" priority="4033" operator="equal">
      <formula>"Guardian"</formula>
    </cfRule>
    <cfRule type="cellIs" dxfId="1791" priority="4034" operator="equal">
      <formula>"Survivor"</formula>
    </cfRule>
    <cfRule type="cellIs" dxfId="1790" priority="4035" operator="equal">
      <formula>"Mystic"</formula>
    </cfRule>
  </conditionalFormatting>
  <conditionalFormatting sqref="AL863 AL865:AL881 AL855:AL860">
    <cfRule type="cellIs" dxfId="1789" priority="4024" operator="equal">
      <formula>"Seeker"</formula>
    </cfRule>
    <cfRule type="cellIs" dxfId="1788" priority="4025" operator="equal">
      <formula>"Neutral"</formula>
    </cfRule>
    <cfRule type="cellIs" dxfId="1787" priority="4026" operator="equal">
      <formula>"Rogue"</formula>
    </cfRule>
    <cfRule type="cellIs" dxfId="1786" priority="4027" operator="equal">
      <formula>"Guardian"</formula>
    </cfRule>
    <cfRule type="cellIs" dxfId="1785" priority="4028" operator="equal">
      <formula>"Survivor"</formula>
    </cfRule>
    <cfRule type="cellIs" dxfId="1784" priority="4029" operator="equal">
      <formula>"Mystic"</formula>
    </cfRule>
  </conditionalFormatting>
  <conditionalFormatting sqref="K865:K883 K889 K855:K863">
    <cfRule type="cellIs" dxfId="1783" priority="4018" operator="equal">
      <formula>"seeker"</formula>
    </cfRule>
    <cfRule type="cellIs" dxfId="1782" priority="4019" operator="equal">
      <formula>"neutral"</formula>
    </cfRule>
    <cfRule type="cellIs" dxfId="1781" priority="4020" operator="equal">
      <formula>"rogue"</formula>
    </cfRule>
    <cfRule type="cellIs" dxfId="1780" priority="4021" operator="equal">
      <formula>"Guardian"</formula>
    </cfRule>
    <cfRule type="cellIs" dxfId="1779" priority="4022" operator="equal">
      <formula>"Survivor"</formula>
    </cfRule>
    <cfRule type="cellIs" dxfId="1778" priority="4023" operator="equal">
      <formula>"Mystic"</formula>
    </cfRule>
  </conditionalFormatting>
  <conditionalFormatting sqref="AM861:AM862">
    <cfRule type="cellIs" dxfId="1777" priority="4012" operator="equal">
      <formula>"seeker"</formula>
    </cfRule>
    <cfRule type="cellIs" dxfId="1776" priority="4013" operator="equal">
      <formula>"neutral"</formula>
    </cfRule>
    <cfRule type="cellIs" dxfId="1775" priority="4014" operator="equal">
      <formula>"rogue"</formula>
    </cfRule>
    <cfRule type="cellIs" dxfId="1774" priority="4015" operator="equal">
      <formula>"Guardian"</formula>
    </cfRule>
    <cfRule type="cellIs" dxfId="1773" priority="4016" operator="equal">
      <formula>"Survivor"</formula>
    </cfRule>
    <cfRule type="cellIs" dxfId="1772" priority="4017" operator="equal">
      <formula>"Mystic"</formula>
    </cfRule>
  </conditionalFormatting>
  <conditionalFormatting sqref="AL864">
    <cfRule type="cellIs" dxfId="1771" priority="4006" operator="equal">
      <formula>"Seeker"</formula>
    </cfRule>
    <cfRule type="cellIs" dxfId="1770" priority="4007" operator="equal">
      <formula>"Neutral"</formula>
    </cfRule>
    <cfRule type="cellIs" dxfId="1769" priority="4008" operator="equal">
      <formula>"Rogue"</formula>
    </cfRule>
    <cfRule type="cellIs" dxfId="1768" priority="4009" operator="equal">
      <formula>"Guardian"</formula>
    </cfRule>
    <cfRule type="cellIs" dxfId="1767" priority="4010" operator="equal">
      <formula>"Survivor"</formula>
    </cfRule>
    <cfRule type="cellIs" dxfId="1766" priority="4011" operator="equal">
      <formula>"Mystic"</formula>
    </cfRule>
  </conditionalFormatting>
  <conditionalFormatting sqref="K864">
    <cfRule type="cellIs" dxfId="1765" priority="4000" operator="equal">
      <formula>"seeker"</formula>
    </cfRule>
    <cfRule type="cellIs" dxfId="1764" priority="4001" operator="equal">
      <formula>"neutral"</formula>
    </cfRule>
    <cfRule type="cellIs" dxfId="1763" priority="4002" operator="equal">
      <formula>"rogue"</formula>
    </cfRule>
    <cfRule type="cellIs" dxfId="1762" priority="4003" operator="equal">
      <formula>"Guardian"</formula>
    </cfRule>
    <cfRule type="cellIs" dxfId="1761" priority="4004" operator="equal">
      <formula>"Survivor"</formula>
    </cfRule>
    <cfRule type="cellIs" dxfId="1760" priority="4005" operator="equal">
      <formula>"Mystic"</formula>
    </cfRule>
  </conditionalFormatting>
  <conditionalFormatting sqref="AM882:AM883 AM889">
    <cfRule type="cellIs" dxfId="1759" priority="3994" operator="equal">
      <formula>"seeker"</formula>
    </cfRule>
    <cfRule type="cellIs" dxfId="1758" priority="3995" operator="equal">
      <formula>"neutral"</formula>
    </cfRule>
    <cfRule type="cellIs" dxfId="1757" priority="3996" operator="equal">
      <formula>"rogue"</formula>
    </cfRule>
    <cfRule type="cellIs" dxfId="1756" priority="3997" operator="equal">
      <formula>"Guardian"</formula>
    </cfRule>
    <cfRule type="cellIs" dxfId="1755" priority="3998" operator="equal">
      <formula>"Survivor"</formula>
    </cfRule>
    <cfRule type="cellIs" dxfId="1754" priority="3999" operator="equal">
      <formula>"Mystic"</formula>
    </cfRule>
  </conditionalFormatting>
  <conditionalFormatting sqref="K884">
    <cfRule type="cellIs" dxfId="1753" priority="3988" operator="equal">
      <formula>"seeker"</formula>
    </cfRule>
    <cfRule type="cellIs" dxfId="1752" priority="3989" operator="equal">
      <formula>"neutral"</formula>
    </cfRule>
    <cfRule type="cellIs" dxfId="1751" priority="3990" operator="equal">
      <formula>"rogue"</formula>
    </cfRule>
    <cfRule type="cellIs" dxfId="1750" priority="3991" operator="equal">
      <formula>"Guardian"</formula>
    </cfRule>
    <cfRule type="cellIs" dxfId="1749" priority="3992" operator="equal">
      <formula>"Survivor"</formula>
    </cfRule>
    <cfRule type="cellIs" dxfId="1748" priority="3993" operator="equal">
      <formula>"Mystic"</formula>
    </cfRule>
  </conditionalFormatting>
  <conditionalFormatting sqref="AM884">
    <cfRule type="cellIs" dxfId="1747" priority="3982" operator="equal">
      <formula>"seeker"</formula>
    </cfRule>
    <cfRule type="cellIs" dxfId="1746" priority="3983" operator="equal">
      <formula>"neutral"</formula>
    </cfRule>
    <cfRule type="cellIs" dxfId="1745" priority="3984" operator="equal">
      <formula>"rogue"</formula>
    </cfRule>
    <cfRule type="cellIs" dxfId="1744" priority="3985" operator="equal">
      <formula>"Guardian"</formula>
    </cfRule>
    <cfRule type="cellIs" dxfId="1743" priority="3986" operator="equal">
      <formula>"Survivor"</formula>
    </cfRule>
    <cfRule type="cellIs" dxfId="1742" priority="3987" operator="equal">
      <formula>"Mystic"</formula>
    </cfRule>
  </conditionalFormatting>
  <conditionalFormatting sqref="K885">
    <cfRule type="cellIs" dxfId="1741" priority="3976" operator="equal">
      <formula>"seeker"</formula>
    </cfRule>
    <cfRule type="cellIs" dxfId="1740" priority="3977" operator="equal">
      <formula>"neutral"</formula>
    </cfRule>
    <cfRule type="cellIs" dxfId="1739" priority="3978" operator="equal">
      <formula>"rogue"</formula>
    </cfRule>
    <cfRule type="cellIs" dxfId="1738" priority="3979" operator="equal">
      <formula>"Guardian"</formula>
    </cfRule>
    <cfRule type="cellIs" dxfId="1737" priority="3980" operator="equal">
      <formula>"Survivor"</formula>
    </cfRule>
    <cfRule type="cellIs" dxfId="1736" priority="3981" operator="equal">
      <formula>"Mystic"</formula>
    </cfRule>
  </conditionalFormatting>
  <conditionalFormatting sqref="AM885">
    <cfRule type="cellIs" dxfId="1735" priority="3970" operator="equal">
      <formula>"seeker"</formula>
    </cfRule>
    <cfRule type="cellIs" dxfId="1734" priority="3971" operator="equal">
      <formula>"neutral"</formula>
    </cfRule>
    <cfRule type="cellIs" dxfId="1733" priority="3972" operator="equal">
      <formula>"rogue"</formula>
    </cfRule>
    <cfRule type="cellIs" dxfId="1732" priority="3973" operator="equal">
      <formula>"Guardian"</formula>
    </cfRule>
    <cfRule type="cellIs" dxfId="1731" priority="3974" operator="equal">
      <formula>"Survivor"</formula>
    </cfRule>
    <cfRule type="cellIs" dxfId="1730" priority="3975" operator="equal">
      <formula>"Mystic"</formula>
    </cfRule>
  </conditionalFormatting>
  <conditionalFormatting sqref="K886">
    <cfRule type="cellIs" dxfId="1729" priority="3964" operator="equal">
      <formula>"seeker"</formula>
    </cfRule>
    <cfRule type="cellIs" dxfId="1728" priority="3965" operator="equal">
      <formula>"neutral"</formula>
    </cfRule>
    <cfRule type="cellIs" dxfId="1727" priority="3966" operator="equal">
      <formula>"rogue"</formula>
    </cfRule>
    <cfRule type="cellIs" dxfId="1726" priority="3967" operator="equal">
      <formula>"Guardian"</formula>
    </cfRule>
    <cfRule type="cellIs" dxfId="1725" priority="3968" operator="equal">
      <formula>"Survivor"</formula>
    </cfRule>
    <cfRule type="cellIs" dxfId="1724" priority="3969" operator="equal">
      <formula>"Mystic"</formula>
    </cfRule>
  </conditionalFormatting>
  <conditionalFormatting sqref="AM886">
    <cfRule type="cellIs" dxfId="1723" priority="3958" operator="equal">
      <formula>"seeker"</formula>
    </cfRule>
    <cfRule type="cellIs" dxfId="1722" priority="3959" operator="equal">
      <formula>"neutral"</formula>
    </cfRule>
    <cfRule type="cellIs" dxfId="1721" priority="3960" operator="equal">
      <formula>"rogue"</formula>
    </cfRule>
    <cfRule type="cellIs" dxfId="1720" priority="3961" operator="equal">
      <formula>"Guardian"</formula>
    </cfRule>
    <cfRule type="cellIs" dxfId="1719" priority="3962" operator="equal">
      <formula>"Survivor"</formula>
    </cfRule>
    <cfRule type="cellIs" dxfId="1718" priority="3963" operator="equal">
      <formula>"Mystic"</formula>
    </cfRule>
  </conditionalFormatting>
  <conditionalFormatting sqref="K887">
    <cfRule type="cellIs" dxfId="1717" priority="3952" operator="equal">
      <formula>"seeker"</formula>
    </cfRule>
    <cfRule type="cellIs" dxfId="1716" priority="3953" operator="equal">
      <formula>"neutral"</formula>
    </cfRule>
    <cfRule type="cellIs" dxfId="1715" priority="3954" operator="equal">
      <formula>"rogue"</formula>
    </cfRule>
    <cfRule type="cellIs" dxfId="1714" priority="3955" operator="equal">
      <formula>"Guardian"</formula>
    </cfRule>
    <cfRule type="cellIs" dxfId="1713" priority="3956" operator="equal">
      <formula>"Survivor"</formula>
    </cfRule>
    <cfRule type="cellIs" dxfId="1712" priority="3957" operator="equal">
      <formula>"Mystic"</formula>
    </cfRule>
  </conditionalFormatting>
  <conditionalFormatting sqref="AM887">
    <cfRule type="cellIs" dxfId="1711" priority="3946" operator="equal">
      <formula>"seeker"</formula>
    </cfRule>
    <cfRule type="cellIs" dxfId="1710" priority="3947" operator="equal">
      <formula>"neutral"</formula>
    </cfRule>
    <cfRule type="cellIs" dxfId="1709" priority="3948" operator="equal">
      <formula>"rogue"</formula>
    </cfRule>
    <cfRule type="cellIs" dxfId="1708" priority="3949" operator="equal">
      <formula>"Guardian"</formula>
    </cfRule>
    <cfRule type="cellIs" dxfId="1707" priority="3950" operator="equal">
      <formula>"Survivor"</formula>
    </cfRule>
    <cfRule type="cellIs" dxfId="1706" priority="3951" operator="equal">
      <formula>"Mystic"</formula>
    </cfRule>
  </conditionalFormatting>
  <conditionalFormatting sqref="K888">
    <cfRule type="cellIs" dxfId="1705" priority="3940" operator="equal">
      <formula>"seeker"</formula>
    </cfRule>
    <cfRule type="cellIs" dxfId="1704" priority="3941" operator="equal">
      <formula>"neutral"</formula>
    </cfRule>
    <cfRule type="cellIs" dxfId="1703" priority="3942" operator="equal">
      <formula>"rogue"</formula>
    </cfRule>
    <cfRule type="cellIs" dxfId="1702" priority="3943" operator="equal">
      <formula>"Guardian"</formula>
    </cfRule>
    <cfRule type="cellIs" dxfId="1701" priority="3944" operator="equal">
      <formula>"Survivor"</formula>
    </cfRule>
    <cfRule type="cellIs" dxfId="1700" priority="3945" operator="equal">
      <formula>"Mystic"</formula>
    </cfRule>
  </conditionalFormatting>
  <conditionalFormatting sqref="AM888">
    <cfRule type="cellIs" dxfId="1699" priority="3934" operator="equal">
      <formula>"seeker"</formula>
    </cfRule>
    <cfRule type="cellIs" dxfId="1698" priority="3935" operator="equal">
      <formula>"neutral"</formula>
    </cfRule>
    <cfRule type="cellIs" dxfId="1697" priority="3936" operator="equal">
      <formula>"rogue"</formula>
    </cfRule>
    <cfRule type="cellIs" dxfId="1696" priority="3937" operator="equal">
      <formula>"Guardian"</formula>
    </cfRule>
    <cfRule type="cellIs" dxfId="1695" priority="3938" operator="equal">
      <formula>"Survivor"</formula>
    </cfRule>
    <cfRule type="cellIs" dxfId="1694" priority="3939" operator="equal">
      <formula>"Mystic"</formula>
    </cfRule>
  </conditionalFormatting>
  <conditionalFormatting sqref="AM955:AM960 K933:K957 K960 K963 AM963 AM965:AM977 K965:K977">
    <cfRule type="cellIs" dxfId="1693" priority="3892" operator="equal">
      <formula>"seeker"</formula>
    </cfRule>
    <cfRule type="cellIs" dxfId="1692" priority="3893" operator="equal">
      <formula>"neutral"</formula>
    </cfRule>
    <cfRule type="cellIs" dxfId="1691" priority="3894" operator="equal">
      <formula>"rogue"</formula>
    </cfRule>
    <cfRule type="cellIs" dxfId="1690" priority="3895" operator="equal">
      <formula>"Guardian"</formula>
    </cfRule>
    <cfRule type="cellIs" dxfId="1689" priority="3896" operator="equal">
      <formula>"Survivor"</formula>
    </cfRule>
    <cfRule type="cellIs" dxfId="1688" priority="3897" operator="equal">
      <formula>"Mystic"</formula>
    </cfRule>
  </conditionalFormatting>
  <conditionalFormatting sqref="AL937">
    <cfRule type="cellIs" dxfId="1687" priority="3862" operator="equal">
      <formula>"Seeker"</formula>
    </cfRule>
    <cfRule type="cellIs" dxfId="1686" priority="3863" operator="equal">
      <formula>"Neutral"</formula>
    </cfRule>
    <cfRule type="cellIs" dxfId="1685" priority="3864" operator="equal">
      <formula>"Rogue"</formula>
    </cfRule>
    <cfRule type="cellIs" dxfId="1684" priority="3865" operator="equal">
      <formula>"Guardian"</formula>
    </cfRule>
    <cfRule type="cellIs" dxfId="1683" priority="3866" operator="equal">
      <formula>"Survivor"</formula>
    </cfRule>
    <cfRule type="cellIs" dxfId="1682" priority="3867" operator="equal">
      <formula>"Mystic"</formula>
    </cfRule>
  </conditionalFormatting>
  <conditionalFormatting sqref="AL933 AL938:AL944">
    <cfRule type="cellIs" dxfId="1681" priority="3886" operator="equal">
      <formula>"Seeker"</formula>
    </cfRule>
    <cfRule type="cellIs" dxfId="1680" priority="3887" operator="equal">
      <formula>"Neutral"</formula>
    </cfRule>
    <cfRule type="cellIs" dxfId="1679" priority="3888" operator="equal">
      <formula>"Rogue"</formula>
    </cfRule>
    <cfRule type="cellIs" dxfId="1678" priority="3889" operator="equal">
      <formula>"Guardian"</formula>
    </cfRule>
    <cfRule type="cellIs" dxfId="1677" priority="3890" operator="equal">
      <formula>"Survivor"</formula>
    </cfRule>
    <cfRule type="cellIs" dxfId="1676" priority="3891" operator="equal">
      <formula>"Mystic"</formula>
    </cfRule>
  </conditionalFormatting>
  <conditionalFormatting sqref="AL934">
    <cfRule type="cellIs" dxfId="1675" priority="3880" operator="equal">
      <formula>"Seeker"</formula>
    </cfRule>
    <cfRule type="cellIs" dxfId="1674" priority="3881" operator="equal">
      <formula>"Neutral"</formula>
    </cfRule>
    <cfRule type="cellIs" dxfId="1673" priority="3882" operator="equal">
      <formula>"Rogue"</formula>
    </cfRule>
    <cfRule type="cellIs" dxfId="1672" priority="3883" operator="equal">
      <formula>"Guardian"</formula>
    </cfRule>
    <cfRule type="cellIs" dxfId="1671" priority="3884" operator="equal">
      <formula>"Survivor"</formula>
    </cfRule>
    <cfRule type="cellIs" dxfId="1670" priority="3885" operator="equal">
      <formula>"Mystic"</formula>
    </cfRule>
  </conditionalFormatting>
  <conditionalFormatting sqref="AL935">
    <cfRule type="cellIs" dxfId="1669" priority="3874" operator="equal">
      <formula>"Seeker"</formula>
    </cfRule>
    <cfRule type="cellIs" dxfId="1668" priority="3875" operator="equal">
      <formula>"Neutral"</formula>
    </cfRule>
    <cfRule type="cellIs" dxfId="1667" priority="3876" operator="equal">
      <formula>"Rogue"</formula>
    </cfRule>
    <cfRule type="cellIs" dxfId="1666" priority="3877" operator="equal">
      <formula>"Guardian"</formula>
    </cfRule>
    <cfRule type="cellIs" dxfId="1665" priority="3878" operator="equal">
      <formula>"Survivor"</formula>
    </cfRule>
    <cfRule type="cellIs" dxfId="1664" priority="3879" operator="equal">
      <formula>"Mystic"</formula>
    </cfRule>
  </conditionalFormatting>
  <conditionalFormatting sqref="AL936">
    <cfRule type="cellIs" dxfId="1663" priority="3868" operator="equal">
      <formula>"Seeker"</formula>
    </cfRule>
    <cfRule type="cellIs" dxfId="1662" priority="3869" operator="equal">
      <formula>"Neutral"</formula>
    </cfRule>
    <cfRule type="cellIs" dxfId="1661" priority="3870" operator="equal">
      <formula>"Rogue"</formula>
    </cfRule>
    <cfRule type="cellIs" dxfId="1660" priority="3871" operator="equal">
      <formula>"Guardian"</formula>
    </cfRule>
    <cfRule type="cellIs" dxfId="1659" priority="3872" operator="equal">
      <formula>"Survivor"</formula>
    </cfRule>
    <cfRule type="cellIs" dxfId="1658" priority="3873" operator="equal">
      <formula>"Mystic"</formula>
    </cfRule>
  </conditionalFormatting>
  <conditionalFormatting sqref="K958">
    <cfRule type="cellIs" dxfId="1657" priority="3856" operator="equal">
      <formula>"seeker"</formula>
    </cfRule>
    <cfRule type="cellIs" dxfId="1656" priority="3857" operator="equal">
      <formula>"neutral"</formula>
    </cfRule>
    <cfRule type="cellIs" dxfId="1655" priority="3858" operator="equal">
      <formula>"rogue"</formula>
    </cfRule>
    <cfRule type="cellIs" dxfId="1654" priority="3859" operator="equal">
      <formula>"Guardian"</formula>
    </cfRule>
    <cfRule type="cellIs" dxfId="1653" priority="3860" operator="equal">
      <formula>"Survivor"</formula>
    </cfRule>
    <cfRule type="cellIs" dxfId="1652" priority="3861" operator="equal">
      <formula>"Mystic"</formula>
    </cfRule>
  </conditionalFormatting>
  <conditionalFormatting sqref="K959">
    <cfRule type="cellIs" dxfId="1651" priority="3850" operator="equal">
      <formula>"seeker"</formula>
    </cfRule>
    <cfRule type="cellIs" dxfId="1650" priority="3851" operator="equal">
      <formula>"neutral"</formula>
    </cfRule>
    <cfRule type="cellIs" dxfId="1649" priority="3852" operator="equal">
      <formula>"rogue"</formula>
    </cfRule>
    <cfRule type="cellIs" dxfId="1648" priority="3853" operator="equal">
      <formula>"Guardian"</formula>
    </cfRule>
    <cfRule type="cellIs" dxfId="1647" priority="3854" operator="equal">
      <formula>"Survivor"</formula>
    </cfRule>
    <cfRule type="cellIs" dxfId="1646" priority="3855" operator="equal">
      <formula>"Mystic"</formula>
    </cfRule>
  </conditionalFormatting>
  <conditionalFormatting sqref="AM961 K961">
    <cfRule type="cellIs" dxfId="1645" priority="3844" operator="equal">
      <formula>"seeker"</formula>
    </cfRule>
    <cfRule type="cellIs" dxfId="1644" priority="3845" operator="equal">
      <formula>"neutral"</formula>
    </cfRule>
    <cfRule type="cellIs" dxfId="1643" priority="3846" operator="equal">
      <formula>"rogue"</formula>
    </cfRule>
    <cfRule type="cellIs" dxfId="1642" priority="3847" operator="equal">
      <formula>"Guardian"</formula>
    </cfRule>
    <cfRule type="cellIs" dxfId="1641" priority="3848" operator="equal">
      <formula>"Survivor"</formula>
    </cfRule>
    <cfRule type="cellIs" dxfId="1640" priority="3849" operator="equal">
      <formula>"Mystic"</formula>
    </cfRule>
  </conditionalFormatting>
  <conditionalFormatting sqref="AM962 K962">
    <cfRule type="cellIs" dxfId="1639" priority="3838" operator="equal">
      <formula>"seeker"</formula>
    </cfRule>
    <cfRule type="cellIs" dxfId="1638" priority="3839" operator="equal">
      <formula>"neutral"</formula>
    </cfRule>
    <cfRule type="cellIs" dxfId="1637" priority="3840" operator="equal">
      <formula>"rogue"</formula>
    </cfRule>
    <cfRule type="cellIs" dxfId="1636" priority="3841" operator="equal">
      <formula>"Guardian"</formula>
    </cfRule>
    <cfRule type="cellIs" dxfId="1635" priority="3842" operator="equal">
      <formula>"Survivor"</formula>
    </cfRule>
    <cfRule type="cellIs" dxfId="1634" priority="3843" operator="equal">
      <formula>"Mystic"</formula>
    </cfRule>
  </conditionalFormatting>
  <conditionalFormatting sqref="K964 AM964">
    <cfRule type="cellIs" dxfId="1633" priority="3832" operator="equal">
      <formula>"seeker"</formula>
    </cfRule>
    <cfRule type="cellIs" dxfId="1632" priority="3833" operator="equal">
      <formula>"neutral"</formula>
    </cfRule>
    <cfRule type="cellIs" dxfId="1631" priority="3834" operator="equal">
      <formula>"rogue"</formula>
    </cfRule>
    <cfRule type="cellIs" dxfId="1630" priority="3835" operator="equal">
      <formula>"Guardian"</formula>
    </cfRule>
    <cfRule type="cellIs" dxfId="1629" priority="3836" operator="equal">
      <formula>"Survivor"</formula>
    </cfRule>
    <cfRule type="cellIs" dxfId="1628" priority="3837" operator="equal">
      <formula>"Mystic"</formula>
    </cfRule>
  </conditionalFormatting>
  <conditionalFormatting sqref="K1009">
    <cfRule type="cellIs" dxfId="1627" priority="2446" operator="equal">
      <formula>"seeker"</formula>
    </cfRule>
    <cfRule type="cellIs" dxfId="1626" priority="2447" operator="equal">
      <formula>"neutral"</formula>
    </cfRule>
    <cfRule type="cellIs" dxfId="1625" priority="2448" operator="equal">
      <formula>"rogue"</formula>
    </cfRule>
    <cfRule type="cellIs" dxfId="1624" priority="2449" operator="equal">
      <formula>"Guardian"</formula>
    </cfRule>
    <cfRule type="cellIs" dxfId="1623" priority="2450" operator="equal">
      <formula>"Survivor"</formula>
    </cfRule>
    <cfRule type="cellIs" dxfId="1622" priority="2451" operator="equal">
      <formula>"Mystic"</formula>
    </cfRule>
  </conditionalFormatting>
  <conditionalFormatting sqref="K1020">
    <cfRule type="cellIs" dxfId="1621" priority="2434" operator="equal">
      <formula>"seeker"</formula>
    </cfRule>
    <cfRule type="cellIs" dxfId="1620" priority="2435" operator="equal">
      <formula>"neutral"</formula>
    </cfRule>
    <cfRule type="cellIs" dxfId="1619" priority="2436" operator="equal">
      <formula>"rogue"</formula>
    </cfRule>
    <cfRule type="cellIs" dxfId="1618" priority="2437" operator="equal">
      <formula>"Guardian"</formula>
    </cfRule>
    <cfRule type="cellIs" dxfId="1617" priority="2438" operator="equal">
      <formula>"Survivor"</formula>
    </cfRule>
    <cfRule type="cellIs" dxfId="1616" priority="2439" operator="equal">
      <formula>"Mystic"</formula>
    </cfRule>
  </conditionalFormatting>
  <conditionalFormatting sqref="AL1090:AL1096">
    <cfRule type="cellIs" dxfId="1615" priority="2410" operator="equal">
      <formula>"Seeker"</formula>
    </cfRule>
    <cfRule type="cellIs" dxfId="1614" priority="2411" operator="equal">
      <formula>"Neutral"</formula>
    </cfRule>
    <cfRule type="cellIs" dxfId="1613" priority="2412" operator="equal">
      <formula>"Rogue"</formula>
    </cfRule>
    <cfRule type="cellIs" dxfId="1612" priority="2413" operator="equal">
      <formula>"Guardian"</formula>
    </cfRule>
    <cfRule type="cellIs" dxfId="1611" priority="2414" operator="equal">
      <formula>"Survivor"</formula>
    </cfRule>
    <cfRule type="cellIs" dxfId="1610" priority="2415" operator="equal">
      <formula>"Mystic"</formula>
    </cfRule>
  </conditionalFormatting>
  <conditionalFormatting sqref="K1085">
    <cfRule type="cellIs" dxfId="1609" priority="2398" operator="equal">
      <formula>"Seeker"</formula>
    </cfRule>
    <cfRule type="cellIs" dxfId="1608" priority="2399" operator="equal">
      <formula>"Neutral"</formula>
    </cfRule>
    <cfRule type="cellIs" dxfId="1607" priority="2400" operator="equal">
      <formula>"Rogue"</formula>
    </cfRule>
    <cfRule type="cellIs" dxfId="1606" priority="2401" operator="equal">
      <formula>"Guardian"</formula>
    </cfRule>
    <cfRule type="cellIs" dxfId="1605" priority="2402" operator="equal">
      <formula>"Survivor"</formula>
    </cfRule>
    <cfRule type="cellIs" dxfId="1604" priority="2403" operator="equal">
      <formula>"Mystic"</formula>
    </cfRule>
  </conditionalFormatting>
  <conditionalFormatting sqref="K1107">
    <cfRule type="cellIs" dxfId="1603" priority="2356" operator="equal">
      <formula>"seeker"</formula>
    </cfRule>
    <cfRule type="cellIs" dxfId="1602" priority="2357" operator="equal">
      <formula>"neutral"</formula>
    </cfRule>
    <cfRule type="cellIs" dxfId="1601" priority="2358" operator="equal">
      <formula>"rogue"</formula>
    </cfRule>
    <cfRule type="cellIs" dxfId="1600" priority="2359" operator="equal">
      <formula>"Guardian"</formula>
    </cfRule>
    <cfRule type="cellIs" dxfId="1599" priority="2360" operator="equal">
      <formula>"Survivor"</formula>
    </cfRule>
    <cfRule type="cellIs" dxfId="1598" priority="2361" operator="equal">
      <formula>"Mystic"</formula>
    </cfRule>
  </conditionalFormatting>
  <conditionalFormatting sqref="AM1107">
    <cfRule type="cellIs" dxfId="1597" priority="2350" operator="equal">
      <formula>"seeker"</formula>
    </cfRule>
    <cfRule type="cellIs" dxfId="1596" priority="2351" operator="equal">
      <formula>"neutral"</formula>
    </cfRule>
    <cfRule type="cellIs" dxfId="1595" priority="2352" operator="equal">
      <formula>"rogue"</formula>
    </cfRule>
    <cfRule type="cellIs" dxfId="1594" priority="2353" operator="equal">
      <formula>"Guardian"</formula>
    </cfRule>
    <cfRule type="cellIs" dxfId="1593" priority="2354" operator="equal">
      <formula>"Survivor"</formula>
    </cfRule>
    <cfRule type="cellIs" dxfId="1592" priority="2355" operator="equal">
      <formula>"Mystic"</formula>
    </cfRule>
  </conditionalFormatting>
  <conditionalFormatting sqref="AM1108">
    <cfRule type="cellIs" dxfId="1591" priority="2338" operator="equal">
      <formula>"seeker"</formula>
    </cfRule>
    <cfRule type="cellIs" dxfId="1590" priority="2339" operator="equal">
      <formula>"neutral"</formula>
    </cfRule>
    <cfRule type="cellIs" dxfId="1589" priority="2340" operator="equal">
      <formula>"rogue"</formula>
    </cfRule>
    <cfRule type="cellIs" dxfId="1588" priority="2341" operator="equal">
      <formula>"Guardian"</formula>
    </cfRule>
    <cfRule type="cellIs" dxfId="1587" priority="2342" operator="equal">
      <formula>"Survivor"</formula>
    </cfRule>
    <cfRule type="cellIs" dxfId="1586" priority="2343" operator="equal">
      <formula>"Mystic"</formula>
    </cfRule>
  </conditionalFormatting>
  <conditionalFormatting sqref="K1109">
    <cfRule type="cellIs" dxfId="1585" priority="2332" operator="equal">
      <formula>"seeker"</formula>
    </cfRule>
    <cfRule type="cellIs" dxfId="1584" priority="2333" operator="equal">
      <formula>"neutral"</formula>
    </cfRule>
    <cfRule type="cellIs" dxfId="1583" priority="2334" operator="equal">
      <formula>"rogue"</formula>
    </cfRule>
    <cfRule type="cellIs" dxfId="1582" priority="2335" operator="equal">
      <formula>"Guardian"</formula>
    </cfRule>
    <cfRule type="cellIs" dxfId="1581" priority="2336" operator="equal">
      <formula>"Survivor"</formula>
    </cfRule>
    <cfRule type="cellIs" dxfId="1580" priority="2337" operator="equal">
      <formula>"Mystic"</formula>
    </cfRule>
  </conditionalFormatting>
  <conditionalFormatting sqref="AM1162">
    <cfRule type="cellIs" dxfId="1579" priority="2188" operator="equal">
      <formula>"seeker"</formula>
    </cfRule>
    <cfRule type="cellIs" dxfId="1578" priority="2189" operator="equal">
      <formula>"neutral"</formula>
    </cfRule>
    <cfRule type="cellIs" dxfId="1577" priority="2190" operator="equal">
      <formula>"rogue"</formula>
    </cfRule>
    <cfRule type="cellIs" dxfId="1576" priority="2191" operator="equal">
      <formula>"Guardian"</formula>
    </cfRule>
    <cfRule type="cellIs" dxfId="1575" priority="2192" operator="equal">
      <formula>"Survivor"</formula>
    </cfRule>
    <cfRule type="cellIs" dxfId="1574" priority="2193" operator="equal">
      <formula>"Mystic"</formula>
    </cfRule>
  </conditionalFormatting>
  <conditionalFormatting sqref="K1110">
    <cfRule type="cellIs" dxfId="1573" priority="2326" operator="equal">
      <formula>"seeker"</formula>
    </cfRule>
    <cfRule type="cellIs" dxfId="1572" priority="2327" operator="equal">
      <formula>"neutral"</formula>
    </cfRule>
    <cfRule type="cellIs" dxfId="1571" priority="2328" operator="equal">
      <formula>"rogue"</formula>
    </cfRule>
    <cfRule type="cellIs" dxfId="1570" priority="2329" operator="equal">
      <formula>"Guardian"</formula>
    </cfRule>
    <cfRule type="cellIs" dxfId="1569" priority="2330" operator="equal">
      <formula>"Survivor"</formula>
    </cfRule>
    <cfRule type="cellIs" dxfId="1568" priority="2331" operator="equal">
      <formula>"Mystic"</formula>
    </cfRule>
  </conditionalFormatting>
  <conditionalFormatting sqref="K1118">
    <cfRule type="cellIs" dxfId="1567" priority="2308" operator="equal">
      <formula>"seeker"</formula>
    </cfRule>
    <cfRule type="cellIs" dxfId="1566" priority="2309" operator="equal">
      <formula>"neutral"</formula>
    </cfRule>
    <cfRule type="cellIs" dxfId="1565" priority="2310" operator="equal">
      <formula>"rogue"</formula>
    </cfRule>
    <cfRule type="cellIs" dxfId="1564" priority="2311" operator="equal">
      <formula>"Guardian"</formula>
    </cfRule>
    <cfRule type="cellIs" dxfId="1563" priority="2312" operator="equal">
      <formula>"Survivor"</formula>
    </cfRule>
    <cfRule type="cellIs" dxfId="1562" priority="2313" operator="equal">
      <formula>"Mystic"</formula>
    </cfRule>
  </conditionalFormatting>
  <conditionalFormatting sqref="K1128">
    <cfRule type="cellIs" dxfId="1561" priority="2302" operator="equal">
      <formula>"seeker"</formula>
    </cfRule>
    <cfRule type="cellIs" dxfId="1560" priority="2303" operator="equal">
      <formula>"neutral"</formula>
    </cfRule>
    <cfRule type="cellIs" dxfId="1559" priority="2304" operator="equal">
      <formula>"rogue"</formula>
    </cfRule>
    <cfRule type="cellIs" dxfId="1558" priority="2305" operator="equal">
      <formula>"Guardian"</formula>
    </cfRule>
    <cfRule type="cellIs" dxfId="1557" priority="2306" operator="equal">
      <formula>"Survivor"</formula>
    </cfRule>
    <cfRule type="cellIs" dxfId="1556" priority="2307" operator="equal">
      <formula>"Mystic"</formula>
    </cfRule>
  </conditionalFormatting>
  <conditionalFormatting sqref="AL1128">
    <cfRule type="cellIs" dxfId="1555" priority="2296" operator="equal">
      <formula>"Seeker"</formula>
    </cfRule>
    <cfRule type="cellIs" dxfId="1554" priority="2297" operator="equal">
      <formula>"Neutral"</formula>
    </cfRule>
    <cfRule type="cellIs" dxfId="1553" priority="2298" operator="equal">
      <formula>"Rogue"</formula>
    </cfRule>
    <cfRule type="cellIs" dxfId="1552" priority="2299" operator="equal">
      <formula>"Guardian"</formula>
    </cfRule>
    <cfRule type="cellIs" dxfId="1551" priority="2300" operator="equal">
      <formula>"Survivor"</formula>
    </cfRule>
    <cfRule type="cellIs" dxfId="1550" priority="2301" operator="equal">
      <formula>"Mystic"</formula>
    </cfRule>
  </conditionalFormatting>
  <conditionalFormatting sqref="AM1104">
    <cfRule type="cellIs" dxfId="1549" priority="2290" operator="equal">
      <formula>"seeker"</formula>
    </cfRule>
    <cfRule type="cellIs" dxfId="1548" priority="2291" operator="equal">
      <formula>"neutral"</formula>
    </cfRule>
    <cfRule type="cellIs" dxfId="1547" priority="2292" operator="equal">
      <formula>"rogue"</formula>
    </cfRule>
    <cfRule type="cellIs" dxfId="1546" priority="2293" operator="equal">
      <formula>"Guardian"</formula>
    </cfRule>
    <cfRule type="cellIs" dxfId="1545" priority="2294" operator="equal">
      <formula>"Survivor"</formula>
    </cfRule>
    <cfRule type="cellIs" dxfId="1544" priority="2295" operator="equal">
      <formula>"Mystic"</formula>
    </cfRule>
  </conditionalFormatting>
  <conditionalFormatting sqref="AL1136:AL1142">
    <cfRule type="cellIs" dxfId="1543" priority="2278" operator="equal">
      <formula>"Seeker"</formula>
    </cfRule>
    <cfRule type="cellIs" dxfId="1542" priority="2279" operator="equal">
      <formula>"Neutral"</formula>
    </cfRule>
    <cfRule type="cellIs" dxfId="1541" priority="2280" operator="equal">
      <formula>"Rogue"</formula>
    </cfRule>
    <cfRule type="cellIs" dxfId="1540" priority="2281" operator="equal">
      <formula>"Guardian"</formula>
    </cfRule>
    <cfRule type="cellIs" dxfId="1539" priority="2282" operator="equal">
      <formula>"Survivor"</formula>
    </cfRule>
    <cfRule type="cellIs" dxfId="1538" priority="2283" operator="equal">
      <formula>"Mystic"</formula>
    </cfRule>
  </conditionalFormatting>
  <conditionalFormatting sqref="K1131">
    <cfRule type="cellIs" dxfId="1537" priority="2266" operator="equal">
      <formula>"Seeker"</formula>
    </cfRule>
    <cfRule type="cellIs" dxfId="1536" priority="2267" operator="equal">
      <formula>"Neutral"</formula>
    </cfRule>
    <cfRule type="cellIs" dxfId="1535" priority="2268" operator="equal">
      <formula>"Rogue"</formula>
    </cfRule>
    <cfRule type="cellIs" dxfId="1534" priority="2269" operator="equal">
      <formula>"Guardian"</formula>
    </cfRule>
    <cfRule type="cellIs" dxfId="1533" priority="2270" operator="equal">
      <formula>"Survivor"</formula>
    </cfRule>
    <cfRule type="cellIs" dxfId="1532" priority="2271" operator="equal">
      <formula>"Mystic"</formula>
    </cfRule>
  </conditionalFormatting>
  <conditionalFormatting sqref="K1153">
    <cfRule type="cellIs" dxfId="1531" priority="2224" operator="equal">
      <formula>"seeker"</formula>
    </cfRule>
    <cfRule type="cellIs" dxfId="1530" priority="2225" operator="equal">
      <formula>"neutral"</formula>
    </cfRule>
    <cfRule type="cellIs" dxfId="1529" priority="2226" operator="equal">
      <formula>"rogue"</formula>
    </cfRule>
    <cfRule type="cellIs" dxfId="1528" priority="2227" operator="equal">
      <formula>"Guardian"</formula>
    </cfRule>
    <cfRule type="cellIs" dxfId="1527" priority="2228" operator="equal">
      <formula>"Survivor"</formula>
    </cfRule>
    <cfRule type="cellIs" dxfId="1526" priority="2229" operator="equal">
      <formula>"Mystic"</formula>
    </cfRule>
  </conditionalFormatting>
  <conditionalFormatting sqref="AM1153">
    <cfRule type="cellIs" dxfId="1525" priority="2218" operator="equal">
      <formula>"seeker"</formula>
    </cfRule>
    <cfRule type="cellIs" dxfId="1524" priority="2219" operator="equal">
      <formula>"neutral"</formula>
    </cfRule>
    <cfRule type="cellIs" dxfId="1523" priority="2220" operator="equal">
      <formula>"rogue"</formula>
    </cfRule>
    <cfRule type="cellIs" dxfId="1522" priority="2221" operator="equal">
      <formula>"Guardian"</formula>
    </cfRule>
    <cfRule type="cellIs" dxfId="1521" priority="2222" operator="equal">
      <formula>"Survivor"</formula>
    </cfRule>
    <cfRule type="cellIs" dxfId="1520" priority="2223" operator="equal">
      <formula>"Mystic"</formula>
    </cfRule>
  </conditionalFormatting>
  <conditionalFormatting sqref="AM1154">
    <cfRule type="cellIs" dxfId="1519" priority="2206" operator="equal">
      <formula>"seeker"</formula>
    </cfRule>
    <cfRule type="cellIs" dxfId="1518" priority="2207" operator="equal">
      <formula>"neutral"</formula>
    </cfRule>
    <cfRule type="cellIs" dxfId="1517" priority="2208" operator="equal">
      <formula>"rogue"</formula>
    </cfRule>
    <cfRule type="cellIs" dxfId="1516" priority="2209" operator="equal">
      <formula>"Guardian"</formula>
    </cfRule>
    <cfRule type="cellIs" dxfId="1515" priority="2210" operator="equal">
      <formula>"Survivor"</formula>
    </cfRule>
    <cfRule type="cellIs" dxfId="1514" priority="2211" operator="equal">
      <formula>"Mystic"</formula>
    </cfRule>
  </conditionalFormatting>
  <conditionalFormatting sqref="K1155">
    <cfRule type="cellIs" dxfId="1513" priority="2200" operator="equal">
      <formula>"seeker"</formula>
    </cfRule>
    <cfRule type="cellIs" dxfId="1512" priority="2201" operator="equal">
      <formula>"neutral"</formula>
    </cfRule>
    <cfRule type="cellIs" dxfId="1511" priority="2202" operator="equal">
      <formula>"rogue"</formula>
    </cfRule>
    <cfRule type="cellIs" dxfId="1510" priority="2203" operator="equal">
      <formula>"Guardian"</formula>
    </cfRule>
    <cfRule type="cellIs" dxfId="1509" priority="2204" operator="equal">
      <formula>"Survivor"</formula>
    </cfRule>
    <cfRule type="cellIs" dxfId="1508" priority="2205" operator="equal">
      <formula>"Mystic"</formula>
    </cfRule>
  </conditionalFormatting>
  <conditionalFormatting sqref="AM1081:AM1084">
    <cfRule type="cellIs" dxfId="1507" priority="2578" operator="equal">
      <formula>"seeker"</formula>
    </cfRule>
    <cfRule type="cellIs" dxfId="1506" priority="2579" operator="equal">
      <formula>"neutral"</formula>
    </cfRule>
    <cfRule type="cellIs" dxfId="1505" priority="2580" operator="equal">
      <formula>"rogue"</formula>
    </cfRule>
    <cfRule type="cellIs" dxfId="1504" priority="2581" operator="equal">
      <formula>"Guardian"</formula>
    </cfRule>
    <cfRule type="cellIs" dxfId="1503" priority="2582" operator="equal">
      <formula>"Survivor"</formula>
    </cfRule>
    <cfRule type="cellIs" dxfId="1502" priority="2583" operator="equal">
      <formula>"Mystic"</formula>
    </cfRule>
  </conditionalFormatting>
  <conditionalFormatting sqref="AM1080">
    <cfRule type="cellIs" dxfId="1501" priority="2572" operator="equal">
      <formula>"Seeker"</formula>
    </cfRule>
    <cfRule type="cellIs" dxfId="1500" priority="2573" operator="equal">
      <formula>"Neutral"</formula>
    </cfRule>
    <cfRule type="cellIs" dxfId="1499" priority="2574" operator="equal">
      <formula>"Rogue"</formula>
    </cfRule>
    <cfRule type="cellIs" dxfId="1498" priority="2575" operator="equal">
      <formula>"Guardian"</formula>
    </cfRule>
    <cfRule type="cellIs" dxfId="1497" priority="2576" operator="equal">
      <formula>"Survivor"</formula>
    </cfRule>
    <cfRule type="cellIs" dxfId="1496" priority="2577" operator="equal">
      <formula>"Mystic"</formula>
    </cfRule>
  </conditionalFormatting>
  <conditionalFormatting sqref="K1081:K1084">
    <cfRule type="cellIs" dxfId="1495" priority="2566" operator="equal">
      <formula>"seeker"</formula>
    </cfRule>
    <cfRule type="cellIs" dxfId="1494" priority="2567" operator="equal">
      <formula>"neutral"</formula>
    </cfRule>
    <cfRule type="cellIs" dxfId="1493" priority="2568" operator="equal">
      <formula>"rogue"</formula>
    </cfRule>
    <cfRule type="cellIs" dxfId="1492" priority="2569" operator="equal">
      <formula>"Guardian"</formula>
    </cfRule>
    <cfRule type="cellIs" dxfId="1491" priority="2570" operator="equal">
      <formula>"Survivor"</formula>
    </cfRule>
    <cfRule type="cellIs" dxfId="1490" priority="2571" operator="equal">
      <formula>"Mystic"</formula>
    </cfRule>
  </conditionalFormatting>
  <conditionalFormatting sqref="K1080">
    <cfRule type="cellIs" dxfId="1489" priority="2560" operator="equal">
      <formula>"Seeker"</formula>
    </cfRule>
    <cfRule type="cellIs" dxfId="1488" priority="2561" operator="equal">
      <formula>"Neutral"</formula>
    </cfRule>
    <cfRule type="cellIs" dxfId="1487" priority="2562" operator="equal">
      <formula>"Rogue"</formula>
    </cfRule>
    <cfRule type="cellIs" dxfId="1486" priority="2563" operator="equal">
      <formula>"Guardian"</formula>
    </cfRule>
    <cfRule type="cellIs" dxfId="1485" priority="2564" operator="equal">
      <formula>"Survivor"</formula>
    </cfRule>
    <cfRule type="cellIs" dxfId="1484" priority="2565" operator="equal">
      <formula>"Mystic"</formula>
    </cfRule>
  </conditionalFormatting>
  <conditionalFormatting sqref="AM1000:AM1005 AM1008 AM1010:AM1019 K979:K993 K998:K1002 K1010:K1019 AM1021:AM1030 K1021:K1030 AM1032:AM1079 K1032:K1079">
    <cfRule type="cellIs" dxfId="1483" priority="2554" operator="equal">
      <formula>"seeker"</formula>
    </cfRule>
    <cfRule type="cellIs" dxfId="1482" priority="2555" operator="equal">
      <formula>"neutral"</formula>
    </cfRule>
    <cfRule type="cellIs" dxfId="1481" priority="2556" operator="equal">
      <formula>"rogue"</formula>
    </cfRule>
    <cfRule type="cellIs" dxfId="1480" priority="2557" operator="equal">
      <formula>"Guardian"</formula>
    </cfRule>
    <cfRule type="cellIs" dxfId="1479" priority="2558" operator="equal">
      <formula>"Survivor"</formula>
    </cfRule>
    <cfRule type="cellIs" dxfId="1478" priority="2559" operator="equal">
      <formula>"Mystic"</formula>
    </cfRule>
  </conditionalFormatting>
  <conditionalFormatting sqref="AL983:AL989">
    <cfRule type="cellIs" dxfId="1477" priority="2548" operator="equal">
      <formula>"Seeker"</formula>
    </cfRule>
    <cfRule type="cellIs" dxfId="1476" priority="2549" operator="equal">
      <formula>"Neutral"</formula>
    </cfRule>
    <cfRule type="cellIs" dxfId="1475" priority="2550" operator="equal">
      <formula>"Rogue"</formula>
    </cfRule>
    <cfRule type="cellIs" dxfId="1474" priority="2551" operator="equal">
      <formula>"Guardian"</formula>
    </cfRule>
    <cfRule type="cellIs" dxfId="1473" priority="2552" operator="equal">
      <formula>"Survivor"</formula>
    </cfRule>
    <cfRule type="cellIs" dxfId="1472" priority="2553" operator="equal">
      <formula>"Mystic"</formula>
    </cfRule>
  </conditionalFormatting>
  <conditionalFormatting sqref="AM1006">
    <cfRule type="cellIs" dxfId="1471" priority="2542" operator="equal">
      <formula>"seeker"</formula>
    </cfRule>
    <cfRule type="cellIs" dxfId="1470" priority="2543" operator="equal">
      <formula>"neutral"</formula>
    </cfRule>
    <cfRule type="cellIs" dxfId="1469" priority="2544" operator="equal">
      <formula>"rogue"</formula>
    </cfRule>
    <cfRule type="cellIs" dxfId="1468" priority="2545" operator="equal">
      <formula>"Guardian"</formula>
    </cfRule>
    <cfRule type="cellIs" dxfId="1467" priority="2546" operator="equal">
      <formula>"Survivor"</formula>
    </cfRule>
    <cfRule type="cellIs" dxfId="1466" priority="2547" operator="equal">
      <formula>"Mystic"</formula>
    </cfRule>
  </conditionalFormatting>
  <conditionalFormatting sqref="AM1007">
    <cfRule type="cellIs" dxfId="1465" priority="2536" operator="equal">
      <formula>"seeker"</formula>
    </cfRule>
    <cfRule type="cellIs" dxfId="1464" priority="2537" operator="equal">
      <formula>"neutral"</formula>
    </cfRule>
    <cfRule type="cellIs" dxfId="1463" priority="2538" operator="equal">
      <formula>"rogue"</formula>
    </cfRule>
    <cfRule type="cellIs" dxfId="1462" priority="2539" operator="equal">
      <formula>"Guardian"</formula>
    </cfRule>
    <cfRule type="cellIs" dxfId="1461" priority="2540" operator="equal">
      <formula>"Survivor"</formula>
    </cfRule>
    <cfRule type="cellIs" dxfId="1460" priority="2541" operator="equal">
      <formula>"Mystic"</formula>
    </cfRule>
  </conditionalFormatting>
  <conditionalFormatting sqref="AM1009">
    <cfRule type="cellIs" dxfId="1459" priority="2530" operator="equal">
      <formula>"seeker"</formula>
    </cfRule>
    <cfRule type="cellIs" dxfId="1458" priority="2531" operator="equal">
      <formula>"neutral"</formula>
    </cfRule>
    <cfRule type="cellIs" dxfId="1457" priority="2532" operator="equal">
      <formula>"rogue"</formula>
    </cfRule>
    <cfRule type="cellIs" dxfId="1456" priority="2533" operator="equal">
      <formula>"Guardian"</formula>
    </cfRule>
    <cfRule type="cellIs" dxfId="1455" priority="2534" operator="equal">
      <formula>"Survivor"</formula>
    </cfRule>
    <cfRule type="cellIs" dxfId="1454" priority="2535" operator="equal">
      <formula>"Mystic"</formula>
    </cfRule>
  </conditionalFormatting>
  <conditionalFormatting sqref="K978">
    <cfRule type="cellIs" dxfId="1453" priority="2524" operator="equal">
      <formula>"Seeker"</formula>
    </cfRule>
    <cfRule type="cellIs" dxfId="1452" priority="2525" operator="equal">
      <formula>"Neutral"</formula>
    </cfRule>
    <cfRule type="cellIs" dxfId="1451" priority="2526" operator="equal">
      <formula>"Rogue"</formula>
    </cfRule>
    <cfRule type="cellIs" dxfId="1450" priority="2527" operator="equal">
      <formula>"Guardian"</formula>
    </cfRule>
    <cfRule type="cellIs" dxfId="1449" priority="2528" operator="equal">
      <formula>"Survivor"</formula>
    </cfRule>
    <cfRule type="cellIs" dxfId="1448" priority="2529" operator="equal">
      <formula>"Mystic"</formula>
    </cfRule>
  </conditionalFormatting>
  <conditionalFormatting sqref="AM979:AM982">
    <cfRule type="cellIs" dxfId="1447" priority="2518" operator="equal">
      <formula>"seeker"</formula>
    </cfRule>
    <cfRule type="cellIs" dxfId="1446" priority="2519" operator="equal">
      <formula>"neutral"</formula>
    </cfRule>
    <cfRule type="cellIs" dxfId="1445" priority="2520" operator="equal">
      <formula>"rogue"</formula>
    </cfRule>
    <cfRule type="cellIs" dxfId="1444" priority="2521" operator="equal">
      <formula>"Guardian"</formula>
    </cfRule>
    <cfRule type="cellIs" dxfId="1443" priority="2522" operator="equal">
      <formula>"Survivor"</formula>
    </cfRule>
    <cfRule type="cellIs" dxfId="1442" priority="2523" operator="equal">
      <formula>"Mystic"</formula>
    </cfRule>
  </conditionalFormatting>
  <conditionalFormatting sqref="AM978">
    <cfRule type="cellIs" dxfId="1441" priority="2512" operator="equal">
      <formula>"Seeker"</formula>
    </cfRule>
    <cfRule type="cellIs" dxfId="1440" priority="2513" operator="equal">
      <formula>"Neutral"</formula>
    </cfRule>
    <cfRule type="cellIs" dxfId="1439" priority="2514" operator="equal">
      <formula>"Rogue"</formula>
    </cfRule>
    <cfRule type="cellIs" dxfId="1438" priority="2515" operator="equal">
      <formula>"Guardian"</formula>
    </cfRule>
    <cfRule type="cellIs" dxfId="1437" priority="2516" operator="equal">
      <formula>"Survivor"</formula>
    </cfRule>
    <cfRule type="cellIs" dxfId="1436" priority="2517" operator="equal">
      <formula>"Mystic"</formula>
    </cfRule>
  </conditionalFormatting>
  <conditionalFormatting sqref="K994">
    <cfRule type="cellIs" dxfId="1435" priority="2506" operator="equal">
      <formula>"Seeker"</formula>
    </cfRule>
    <cfRule type="cellIs" dxfId="1434" priority="2507" operator="equal">
      <formula>"Neutral"</formula>
    </cfRule>
    <cfRule type="cellIs" dxfId="1433" priority="2508" operator="equal">
      <formula>"Rogue"</formula>
    </cfRule>
    <cfRule type="cellIs" dxfId="1432" priority="2509" operator="equal">
      <formula>"Guardian"</formula>
    </cfRule>
    <cfRule type="cellIs" dxfId="1431" priority="2510" operator="equal">
      <formula>"Survivor"</formula>
    </cfRule>
    <cfRule type="cellIs" dxfId="1430" priority="2511" operator="equal">
      <formula>"Mystic"</formula>
    </cfRule>
  </conditionalFormatting>
  <conditionalFormatting sqref="K995">
    <cfRule type="cellIs" dxfId="1429" priority="2500" operator="equal">
      <formula>"Seeker"</formula>
    </cfRule>
    <cfRule type="cellIs" dxfId="1428" priority="2501" operator="equal">
      <formula>"Neutral"</formula>
    </cfRule>
    <cfRule type="cellIs" dxfId="1427" priority="2502" operator="equal">
      <formula>"Rogue"</formula>
    </cfRule>
    <cfRule type="cellIs" dxfId="1426" priority="2503" operator="equal">
      <formula>"Guardian"</formula>
    </cfRule>
    <cfRule type="cellIs" dxfId="1425" priority="2504" operator="equal">
      <formula>"Survivor"</formula>
    </cfRule>
    <cfRule type="cellIs" dxfId="1424" priority="2505" operator="equal">
      <formula>"Mystic"</formula>
    </cfRule>
  </conditionalFormatting>
  <conditionalFormatting sqref="K996">
    <cfRule type="cellIs" dxfId="1423" priority="2494" operator="equal">
      <formula>"Seeker"</formula>
    </cfRule>
    <cfRule type="cellIs" dxfId="1422" priority="2495" operator="equal">
      <formula>"Neutral"</formula>
    </cfRule>
    <cfRule type="cellIs" dxfId="1421" priority="2496" operator="equal">
      <formula>"Rogue"</formula>
    </cfRule>
    <cfRule type="cellIs" dxfId="1420" priority="2497" operator="equal">
      <formula>"Guardian"</formula>
    </cfRule>
    <cfRule type="cellIs" dxfId="1419" priority="2498" operator="equal">
      <formula>"Survivor"</formula>
    </cfRule>
    <cfRule type="cellIs" dxfId="1418" priority="2499" operator="equal">
      <formula>"Mystic"</formula>
    </cfRule>
  </conditionalFormatting>
  <conditionalFormatting sqref="K997">
    <cfRule type="cellIs" dxfId="1417" priority="2488" operator="equal">
      <formula>"Seeker"</formula>
    </cfRule>
    <cfRule type="cellIs" dxfId="1416" priority="2489" operator="equal">
      <formula>"Neutral"</formula>
    </cfRule>
    <cfRule type="cellIs" dxfId="1415" priority="2490" operator="equal">
      <formula>"Rogue"</formula>
    </cfRule>
    <cfRule type="cellIs" dxfId="1414" priority="2491" operator="equal">
      <formula>"Guardian"</formula>
    </cfRule>
    <cfRule type="cellIs" dxfId="1413" priority="2492" operator="equal">
      <formula>"Survivor"</formula>
    </cfRule>
    <cfRule type="cellIs" dxfId="1412" priority="2493" operator="equal">
      <formula>"Mystic"</formula>
    </cfRule>
  </conditionalFormatting>
  <conditionalFormatting sqref="K1003">
    <cfRule type="cellIs" dxfId="1411" priority="2482" operator="equal">
      <formula>"seeker"</formula>
    </cfRule>
    <cfRule type="cellIs" dxfId="1410" priority="2483" operator="equal">
      <formula>"neutral"</formula>
    </cfRule>
    <cfRule type="cellIs" dxfId="1409" priority="2484" operator="equal">
      <formula>"rogue"</formula>
    </cfRule>
    <cfRule type="cellIs" dxfId="1408" priority="2485" operator="equal">
      <formula>"Guardian"</formula>
    </cfRule>
    <cfRule type="cellIs" dxfId="1407" priority="2486" operator="equal">
      <formula>"Survivor"</formula>
    </cfRule>
    <cfRule type="cellIs" dxfId="1406" priority="2487" operator="equal">
      <formula>"Mystic"</formula>
    </cfRule>
  </conditionalFormatting>
  <conditionalFormatting sqref="K1004">
    <cfRule type="cellIs" dxfId="1405" priority="2476" operator="equal">
      <formula>"seeker"</formula>
    </cfRule>
    <cfRule type="cellIs" dxfId="1404" priority="2477" operator="equal">
      <formula>"neutral"</formula>
    </cfRule>
    <cfRule type="cellIs" dxfId="1403" priority="2478" operator="equal">
      <formula>"rogue"</formula>
    </cfRule>
    <cfRule type="cellIs" dxfId="1402" priority="2479" operator="equal">
      <formula>"Guardian"</formula>
    </cfRule>
    <cfRule type="cellIs" dxfId="1401" priority="2480" operator="equal">
      <formula>"Survivor"</formula>
    </cfRule>
    <cfRule type="cellIs" dxfId="1400" priority="2481" operator="equal">
      <formula>"Mystic"</formula>
    </cfRule>
  </conditionalFormatting>
  <conditionalFormatting sqref="K1005">
    <cfRule type="cellIs" dxfId="1399" priority="2470" operator="equal">
      <formula>"seeker"</formula>
    </cfRule>
    <cfRule type="cellIs" dxfId="1398" priority="2471" operator="equal">
      <formula>"neutral"</formula>
    </cfRule>
    <cfRule type="cellIs" dxfId="1397" priority="2472" operator="equal">
      <formula>"rogue"</formula>
    </cfRule>
    <cfRule type="cellIs" dxfId="1396" priority="2473" operator="equal">
      <formula>"Guardian"</formula>
    </cfRule>
    <cfRule type="cellIs" dxfId="1395" priority="2474" operator="equal">
      <formula>"Survivor"</formula>
    </cfRule>
    <cfRule type="cellIs" dxfId="1394" priority="2475" operator="equal">
      <formula>"Mystic"</formula>
    </cfRule>
  </conditionalFormatting>
  <conditionalFormatting sqref="K1006">
    <cfRule type="cellIs" dxfId="1393" priority="2464" operator="equal">
      <formula>"seeker"</formula>
    </cfRule>
    <cfRule type="cellIs" dxfId="1392" priority="2465" operator="equal">
      <formula>"neutral"</formula>
    </cfRule>
    <cfRule type="cellIs" dxfId="1391" priority="2466" operator="equal">
      <formula>"rogue"</formula>
    </cfRule>
    <cfRule type="cellIs" dxfId="1390" priority="2467" operator="equal">
      <formula>"Guardian"</formula>
    </cfRule>
    <cfRule type="cellIs" dxfId="1389" priority="2468" operator="equal">
      <formula>"Survivor"</formula>
    </cfRule>
    <cfRule type="cellIs" dxfId="1388" priority="2469" operator="equal">
      <formula>"Mystic"</formula>
    </cfRule>
  </conditionalFormatting>
  <conditionalFormatting sqref="K1007">
    <cfRule type="cellIs" dxfId="1387" priority="2458" operator="equal">
      <formula>"seeker"</formula>
    </cfRule>
    <cfRule type="cellIs" dxfId="1386" priority="2459" operator="equal">
      <formula>"neutral"</formula>
    </cfRule>
    <cfRule type="cellIs" dxfId="1385" priority="2460" operator="equal">
      <formula>"rogue"</formula>
    </cfRule>
    <cfRule type="cellIs" dxfId="1384" priority="2461" operator="equal">
      <formula>"Guardian"</formula>
    </cfRule>
    <cfRule type="cellIs" dxfId="1383" priority="2462" operator="equal">
      <formula>"Survivor"</formula>
    </cfRule>
    <cfRule type="cellIs" dxfId="1382" priority="2463" operator="equal">
      <formula>"Mystic"</formula>
    </cfRule>
  </conditionalFormatting>
  <conditionalFormatting sqref="K1008">
    <cfRule type="cellIs" dxfId="1381" priority="2452" operator="equal">
      <formula>"seeker"</formula>
    </cfRule>
    <cfRule type="cellIs" dxfId="1380" priority="2453" operator="equal">
      <formula>"neutral"</formula>
    </cfRule>
    <cfRule type="cellIs" dxfId="1379" priority="2454" operator="equal">
      <formula>"rogue"</formula>
    </cfRule>
    <cfRule type="cellIs" dxfId="1378" priority="2455" operator="equal">
      <formula>"Guardian"</formula>
    </cfRule>
    <cfRule type="cellIs" dxfId="1377" priority="2456" operator="equal">
      <formula>"Survivor"</formula>
    </cfRule>
    <cfRule type="cellIs" dxfId="1376" priority="2457" operator="equal">
      <formula>"Mystic"</formula>
    </cfRule>
  </conditionalFormatting>
  <conditionalFormatting sqref="AL1020">
    <cfRule type="cellIs" dxfId="1375" priority="2440" operator="equal">
      <formula>"Seeker"</formula>
    </cfRule>
    <cfRule type="cellIs" dxfId="1374" priority="2441" operator="equal">
      <formula>"Neutral"</formula>
    </cfRule>
    <cfRule type="cellIs" dxfId="1373" priority="2442" operator="equal">
      <formula>"Rogue"</formula>
    </cfRule>
    <cfRule type="cellIs" dxfId="1372" priority="2443" operator="equal">
      <formula>"Guardian"</formula>
    </cfRule>
    <cfRule type="cellIs" dxfId="1371" priority="2444" operator="equal">
      <formula>"Survivor"</formula>
    </cfRule>
    <cfRule type="cellIs" dxfId="1370" priority="2445" operator="equal">
      <formula>"Mystic"</formula>
    </cfRule>
  </conditionalFormatting>
  <conditionalFormatting sqref="K1031">
    <cfRule type="cellIs" dxfId="1369" priority="2428" operator="equal">
      <formula>"seeker"</formula>
    </cfRule>
    <cfRule type="cellIs" dxfId="1368" priority="2429" operator="equal">
      <formula>"neutral"</formula>
    </cfRule>
    <cfRule type="cellIs" dxfId="1367" priority="2430" operator="equal">
      <formula>"rogue"</formula>
    </cfRule>
    <cfRule type="cellIs" dxfId="1366" priority="2431" operator="equal">
      <formula>"Guardian"</formula>
    </cfRule>
    <cfRule type="cellIs" dxfId="1365" priority="2432" operator="equal">
      <formula>"Survivor"</formula>
    </cfRule>
    <cfRule type="cellIs" dxfId="1364" priority="2433" operator="equal">
      <formula>"Mystic"</formula>
    </cfRule>
  </conditionalFormatting>
  <conditionalFormatting sqref="AL1031">
    <cfRule type="cellIs" dxfId="1363" priority="2422" operator="equal">
      <formula>"Seeker"</formula>
    </cfRule>
    <cfRule type="cellIs" dxfId="1362" priority="2423" operator="equal">
      <formula>"Neutral"</formula>
    </cfRule>
    <cfRule type="cellIs" dxfId="1361" priority="2424" operator="equal">
      <formula>"Rogue"</formula>
    </cfRule>
    <cfRule type="cellIs" dxfId="1360" priority="2425" operator="equal">
      <formula>"Guardian"</formula>
    </cfRule>
    <cfRule type="cellIs" dxfId="1359" priority="2426" operator="equal">
      <formula>"Survivor"</formula>
    </cfRule>
    <cfRule type="cellIs" dxfId="1358" priority="2427" operator="equal">
      <formula>"Mystic"</formula>
    </cfRule>
  </conditionalFormatting>
  <conditionalFormatting sqref="AM1129:AM1130 K1129:K1130 K1086:K1099 AM1099 AM1105:AM1106 K1103:K1106 K1111:K1117 AM1111:AM1117 K1119:K1127 AM1119:AM1127">
    <cfRule type="cellIs" dxfId="1357" priority="2416" operator="equal">
      <formula>"seeker"</formula>
    </cfRule>
    <cfRule type="cellIs" dxfId="1356" priority="2417" operator="equal">
      <formula>"neutral"</formula>
    </cfRule>
    <cfRule type="cellIs" dxfId="1355" priority="2418" operator="equal">
      <formula>"rogue"</formula>
    </cfRule>
    <cfRule type="cellIs" dxfId="1354" priority="2419" operator="equal">
      <formula>"Guardian"</formula>
    </cfRule>
    <cfRule type="cellIs" dxfId="1353" priority="2420" operator="equal">
      <formula>"Survivor"</formula>
    </cfRule>
    <cfRule type="cellIs" dxfId="1352" priority="2421" operator="equal">
      <formula>"Mystic"</formula>
    </cfRule>
  </conditionalFormatting>
  <conditionalFormatting sqref="AM1109">
    <cfRule type="cellIs" dxfId="1351" priority="2404" operator="equal">
      <formula>"seeker"</formula>
    </cfRule>
    <cfRule type="cellIs" dxfId="1350" priority="2405" operator="equal">
      <formula>"neutral"</formula>
    </cfRule>
    <cfRule type="cellIs" dxfId="1349" priority="2406" operator="equal">
      <formula>"rogue"</formula>
    </cfRule>
    <cfRule type="cellIs" dxfId="1348" priority="2407" operator="equal">
      <formula>"Guardian"</formula>
    </cfRule>
    <cfRule type="cellIs" dxfId="1347" priority="2408" operator="equal">
      <formula>"Survivor"</formula>
    </cfRule>
    <cfRule type="cellIs" dxfId="1346" priority="2409" operator="equal">
      <formula>"Mystic"</formula>
    </cfRule>
  </conditionalFormatting>
  <conditionalFormatting sqref="AM1086:AM1089">
    <cfRule type="cellIs" dxfId="1345" priority="2392" operator="equal">
      <formula>"seeker"</formula>
    </cfRule>
    <cfRule type="cellIs" dxfId="1344" priority="2393" operator="equal">
      <formula>"neutral"</formula>
    </cfRule>
    <cfRule type="cellIs" dxfId="1343" priority="2394" operator="equal">
      <formula>"rogue"</formula>
    </cfRule>
    <cfRule type="cellIs" dxfId="1342" priority="2395" operator="equal">
      <formula>"Guardian"</formula>
    </cfRule>
    <cfRule type="cellIs" dxfId="1341" priority="2396" operator="equal">
      <formula>"Survivor"</formula>
    </cfRule>
    <cfRule type="cellIs" dxfId="1340" priority="2397" operator="equal">
      <formula>"Mystic"</formula>
    </cfRule>
  </conditionalFormatting>
  <conditionalFormatting sqref="AM1085">
    <cfRule type="cellIs" dxfId="1339" priority="2386" operator="equal">
      <formula>"Seeker"</formula>
    </cfRule>
    <cfRule type="cellIs" dxfId="1338" priority="2387" operator="equal">
      <formula>"Neutral"</formula>
    </cfRule>
    <cfRule type="cellIs" dxfId="1337" priority="2388" operator="equal">
      <formula>"Rogue"</formula>
    </cfRule>
    <cfRule type="cellIs" dxfId="1336" priority="2389" operator="equal">
      <formula>"Guardian"</formula>
    </cfRule>
    <cfRule type="cellIs" dxfId="1335" priority="2390" operator="equal">
      <formula>"Survivor"</formula>
    </cfRule>
    <cfRule type="cellIs" dxfId="1334" priority="2391" operator="equal">
      <formula>"Mystic"</formula>
    </cfRule>
  </conditionalFormatting>
  <conditionalFormatting sqref="K1100">
    <cfRule type="cellIs" dxfId="1333" priority="2380" operator="equal">
      <formula>"Seeker"</formula>
    </cfRule>
    <cfRule type="cellIs" dxfId="1332" priority="2381" operator="equal">
      <formula>"Neutral"</formula>
    </cfRule>
    <cfRule type="cellIs" dxfId="1331" priority="2382" operator="equal">
      <formula>"Rogue"</formula>
    </cfRule>
    <cfRule type="cellIs" dxfId="1330" priority="2383" operator="equal">
      <formula>"Guardian"</formula>
    </cfRule>
    <cfRule type="cellIs" dxfId="1329" priority="2384" operator="equal">
      <formula>"Survivor"</formula>
    </cfRule>
    <cfRule type="cellIs" dxfId="1328" priority="2385" operator="equal">
      <formula>"Mystic"</formula>
    </cfRule>
  </conditionalFormatting>
  <conditionalFormatting sqref="AM1100">
    <cfRule type="cellIs" dxfId="1327" priority="2374" operator="equal">
      <formula>"Seeker"</formula>
    </cfRule>
    <cfRule type="cellIs" dxfId="1326" priority="2375" operator="equal">
      <formula>"Neutral"</formula>
    </cfRule>
    <cfRule type="cellIs" dxfId="1325" priority="2376" operator="equal">
      <formula>"Rogue"</formula>
    </cfRule>
    <cfRule type="cellIs" dxfId="1324" priority="2377" operator="equal">
      <formula>"Guardian"</formula>
    </cfRule>
    <cfRule type="cellIs" dxfId="1323" priority="2378" operator="equal">
      <formula>"Survivor"</formula>
    </cfRule>
    <cfRule type="cellIs" dxfId="1322" priority="2379" operator="equal">
      <formula>"Mystic"</formula>
    </cfRule>
  </conditionalFormatting>
  <conditionalFormatting sqref="K1101">
    <cfRule type="cellIs" dxfId="1321" priority="2368" operator="equal">
      <formula>"Seeker"</formula>
    </cfRule>
    <cfRule type="cellIs" dxfId="1320" priority="2369" operator="equal">
      <formula>"Neutral"</formula>
    </cfRule>
    <cfRule type="cellIs" dxfId="1319" priority="2370" operator="equal">
      <formula>"Rogue"</formula>
    </cfRule>
    <cfRule type="cellIs" dxfId="1318" priority="2371" operator="equal">
      <formula>"Guardian"</formula>
    </cfRule>
    <cfRule type="cellIs" dxfId="1317" priority="2372" operator="equal">
      <formula>"Survivor"</formula>
    </cfRule>
    <cfRule type="cellIs" dxfId="1316" priority="2373" operator="equal">
      <formula>"Mystic"</formula>
    </cfRule>
  </conditionalFormatting>
  <conditionalFormatting sqref="K1102">
    <cfRule type="cellIs" dxfId="1315" priority="2362" operator="equal">
      <formula>"Seeker"</formula>
    </cfRule>
    <cfRule type="cellIs" dxfId="1314" priority="2363" operator="equal">
      <formula>"Neutral"</formula>
    </cfRule>
    <cfRule type="cellIs" dxfId="1313" priority="2364" operator="equal">
      <formula>"Rogue"</formula>
    </cfRule>
    <cfRule type="cellIs" dxfId="1312" priority="2365" operator="equal">
      <formula>"Guardian"</formula>
    </cfRule>
    <cfRule type="cellIs" dxfId="1311" priority="2366" operator="equal">
      <formula>"Survivor"</formula>
    </cfRule>
    <cfRule type="cellIs" dxfId="1310" priority="2367" operator="equal">
      <formula>"Mystic"</formula>
    </cfRule>
  </conditionalFormatting>
  <conditionalFormatting sqref="K1108">
    <cfRule type="cellIs" dxfId="1309" priority="2344" operator="equal">
      <formula>"seeker"</formula>
    </cfRule>
    <cfRule type="cellIs" dxfId="1308" priority="2345" operator="equal">
      <formula>"neutral"</formula>
    </cfRule>
    <cfRule type="cellIs" dxfId="1307" priority="2346" operator="equal">
      <formula>"rogue"</formula>
    </cfRule>
    <cfRule type="cellIs" dxfId="1306" priority="2347" operator="equal">
      <formula>"Guardian"</formula>
    </cfRule>
    <cfRule type="cellIs" dxfId="1305" priority="2348" operator="equal">
      <formula>"Survivor"</formula>
    </cfRule>
    <cfRule type="cellIs" dxfId="1304" priority="2349" operator="equal">
      <formula>"Mystic"</formula>
    </cfRule>
  </conditionalFormatting>
  <conditionalFormatting sqref="AM1110">
    <cfRule type="cellIs" dxfId="1303" priority="2320" operator="equal">
      <formula>"seeker"</formula>
    </cfRule>
    <cfRule type="cellIs" dxfId="1302" priority="2321" operator="equal">
      <formula>"neutral"</formula>
    </cfRule>
    <cfRule type="cellIs" dxfId="1301" priority="2322" operator="equal">
      <formula>"rogue"</formula>
    </cfRule>
    <cfRule type="cellIs" dxfId="1300" priority="2323" operator="equal">
      <formula>"Guardian"</formula>
    </cfRule>
    <cfRule type="cellIs" dxfId="1299" priority="2324" operator="equal">
      <formula>"Survivor"</formula>
    </cfRule>
    <cfRule type="cellIs" dxfId="1298" priority="2325" operator="equal">
      <formula>"Mystic"</formula>
    </cfRule>
  </conditionalFormatting>
  <conditionalFormatting sqref="AL1118">
    <cfRule type="cellIs" dxfId="1297" priority="2314" operator="equal">
      <formula>"Seeker"</formula>
    </cfRule>
    <cfRule type="cellIs" dxfId="1296" priority="2315" operator="equal">
      <formula>"Neutral"</formula>
    </cfRule>
    <cfRule type="cellIs" dxfId="1295" priority="2316" operator="equal">
      <formula>"Rogue"</formula>
    </cfRule>
    <cfRule type="cellIs" dxfId="1294" priority="2317" operator="equal">
      <formula>"Guardian"</formula>
    </cfRule>
    <cfRule type="cellIs" dxfId="1293" priority="2318" operator="equal">
      <formula>"Survivor"</formula>
    </cfRule>
    <cfRule type="cellIs" dxfId="1292" priority="2319" operator="equal">
      <formula>"Mystic"</formula>
    </cfRule>
  </conditionalFormatting>
  <conditionalFormatting sqref="AM1173:AM1176 K1173:K1176 K1132:K1145 AM1145 AM1151:AM1152 K1149:K1152 AM1163:AM1171 K1157:K1171 AM1156:AM1161">
    <cfRule type="cellIs" dxfId="1291" priority="2284" operator="equal">
      <formula>"seeker"</formula>
    </cfRule>
    <cfRule type="cellIs" dxfId="1290" priority="2285" operator="equal">
      <formula>"neutral"</formula>
    </cfRule>
    <cfRule type="cellIs" dxfId="1289" priority="2286" operator="equal">
      <formula>"rogue"</formula>
    </cfRule>
    <cfRule type="cellIs" dxfId="1288" priority="2287" operator="equal">
      <formula>"Guardian"</formula>
    </cfRule>
    <cfRule type="cellIs" dxfId="1287" priority="2288" operator="equal">
      <formula>"Survivor"</formula>
    </cfRule>
    <cfRule type="cellIs" dxfId="1286" priority="2289" operator="equal">
      <formula>"Mystic"</formula>
    </cfRule>
  </conditionalFormatting>
  <conditionalFormatting sqref="AM1155">
    <cfRule type="cellIs" dxfId="1285" priority="2272" operator="equal">
      <formula>"seeker"</formula>
    </cfRule>
    <cfRule type="cellIs" dxfId="1284" priority="2273" operator="equal">
      <formula>"neutral"</formula>
    </cfRule>
    <cfRule type="cellIs" dxfId="1283" priority="2274" operator="equal">
      <formula>"rogue"</formula>
    </cfRule>
    <cfRule type="cellIs" dxfId="1282" priority="2275" operator="equal">
      <formula>"Guardian"</formula>
    </cfRule>
    <cfRule type="cellIs" dxfId="1281" priority="2276" operator="equal">
      <formula>"Survivor"</formula>
    </cfRule>
    <cfRule type="cellIs" dxfId="1280" priority="2277" operator="equal">
      <formula>"Mystic"</formula>
    </cfRule>
  </conditionalFormatting>
  <conditionalFormatting sqref="AM1132:AM1135">
    <cfRule type="cellIs" dxfId="1279" priority="2260" operator="equal">
      <formula>"seeker"</formula>
    </cfRule>
    <cfRule type="cellIs" dxfId="1278" priority="2261" operator="equal">
      <formula>"neutral"</formula>
    </cfRule>
    <cfRule type="cellIs" dxfId="1277" priority="2262" operator="equal">
      <formula>"rogue"</formula>
    </cfRule>
    <cfRule type="cellIs" dxfId="1276" priority="2263" operator="equal">
      <formula>"Guardian"</formula>
    </cfRule>
    <cfRule type="cellIs" dxfId="1275" priority="2264" operator="equal">
      <formula>"Survivor"</formula>
    </cfRule>
    <cfRule type="cellIs" dxfId="1274" priority="2265" operator="equal">
      <formula>"Mystic"</formula>
    </cfRule>
  </conditionalFormatting>
  <conditionalFormatting sqref="AM1131">
    <cfRule type="cellIs" dxfId="1273" priority="2254" operator="equal">
      <formula>"Seeker"</formula>
    </cfRule>
    <cfRule type="cellIs" dxfId="1272" priority="2255" operator="equal">
      <formula>"Neutral"</formula>
    </cfRule>
    <cfRule type="cellIs" dxfId="1271" priority="2256" operator="equal">
      <formula>"Rogue"</formula>
    </cfRule>
    <cfRule type="cellIs" dxfId="1270" priority="2257" operator="equal">
      <formula>"Guardian"</formula>
    </cfRule>
    <cfRule type="cellIs" dxfId="1269" priority="2258" operator="equal">
      <formula>"Survivor"</formula>
    </cfRule>
    <cfRule type="cellIs" dxfId="1268" priority="2259" operator="equal">
      <formula>"Mystic"</formula>
    </cfRule>
  </conditionalFormatting>
  <conditionalFormatting sqref="K1146">
    <cfRule type="cellIs" dxfId="1267" priority="2248" operator="equal">
      <formula>"Seeker"</formula>
    </cfRule>
    <cfRule type="cellIs" dxfId="1266" priority="2249" operator="equal">
      <formula>"Neutral"</formula>
    </cfRule>
    <cfRule type="cellIs" dxfId="1265" priority="2250" operator="equal">
      <formula>"Rogue"</formula>
    </cfRule>
    <cfRule type="cellIs" dxfId="1264" priority="2251" operator="equal">
      <formula>"Guardian"</formula>
    </cfRule>
    <cfRule type="cellIs" dxfId="1263" priority="2252" operator="equal">
      <formula>"Survivor"</formula>
    </cfRule>
    <cfRule type="cellIs" dxfId="1262" priority="2253" operator="equal">
      <formula>"Mystic"</formula>
    </cfRule>
  </conditionalFormatting>
  <conditionalFormatting sqref="AM1146">
    <cfRule type="cellIs" dxfId="1261" priority="2242" operator="equal">
      <formula>"Seeker"</formula>
    </cfRule>
    <cfRule type="cellIs" dxfId="1260" priority="2243" operator="equal">
      <formula>"Neutral"</formula>
    </cfRule>
    <cfRule type="cellIs" dxfId="1259" priority="2244" operator="equal">
      <formula>"Rogue"</formula>
    </cfRule>
    <cfRule type="cellIs" dxfId="1258" priority="2245" operator="equal">
      <formula>"Guardian"</formula>
    </cfRule>
    <cfRule type="cellIs" dxfId="1257" priority="2246" operator="equal">
      <formula>"Survivor"</formula>
    </cfRule>
    <cfRule type="cellIs" dxfId="1256" priority="2247" operator="equal">
      <formula>"Mystic"</formula>
    </cfRule>
  </conditionalFormatting>
  <conditionalFormatting sqref="K1147">
    <cfRule type="cellIs" dxfId="1255" priority="2236" operator="equal">
      <formula>"Seeker"</formula>
    </cfRule>
    <cfRule type="cellIs" dxfId="1254" priority="2237" operator="equal">
      <formula>"Neutral"</formula>
    </cfRule>
    <cfRule type="cellIs" dxfId="1253" priority="2238" operator="equal">
      <formula>"Rogue"</formula>
    </cfRule>
    <cfRule type="cellIs" dxfId="1252" priority="2239" operator="equal">
      <formula>"Guardian"</formula>
    </cfRule>
    <cfRule type="cellIs" dxfId="1251" priority="2240" operator="equal">
      <formula>"Survivor"</formula>
    </cfRule>
    <cfRule type="cellIs" dxfId="1250" priority="2241" operator="equal">
      <formula>"Mystic"</formula>
    </cfRule>
  </conditionalFormatting>
  <conditionalFormatting sqref="K1148">
    <cfRule type="cellIs" dxfId="1249" priority="2230" operator="equal">
      <formula>"Seeker"</formula>
    </cfRule>
    <cfRule type="cellIs" dxfId="1248" priority="2231" operator="equal">
      <formula>"Neutral"</formula>
    </cfRule>
    <cfRule type="cellIs" dxfId="1247" priority="2232" operator="equal">
      <formula>"Rogue"</formula>
    </cfRule>
    <cfRule type="cellIs" dxfId="1246" priority="2233" operator="equal">
      <formula>"Guardian"</formula>
    </cfRule>
    <cfRule type="cellIs" dxfId="1245" priority="2234" operator="equal">
      <formula>"Survivor"</formula>
    </cfRule>
    <cfRule type="cellIs" dxfId="1244" priority="2235" operator="equal">
      <formula>"Mystic"</formula>
    </cfRule>
  </conditionalFormatting>
  <conditionalFormatting sqref="K1154">
    <cfRule type="cellIs" dxfId="1243" priority="2212" operator="equal">
      <formula>"seeker"</formula>
    </cfRule>
    <cfRule type="cellIs" dxfId="1242" priority="2213" operator="equal">
      <formula>"neutral"</formula>
    </cfRule>
    <cfRule type="cellIs" dxfId="1241" priority="2214" operator="equal">
      <formula>"rogue"</formula>
    </cfRule>
    <cfRule type="cellIs" dxfId="1240" priority="2215" operator="equal">
      <formula>"Guardian"</formula>
    </cfRule>
    <cfRule type="cellIs" dxfId="1239" priority="2216" operator="equal">
      <formula>"Survivor"</formula>
    </cfRule>
    <cfRule type="cellIs" dxfId="1238" priority="2217" operator="equal">
      <formula>"Mystic"</formula>
    </cfRule>
  </conditionalFormatting>
  <conditionalFormatting sqref="K1156">
    <cfRule type="cellIs" dxfId="1237" priority="2194" operator="equal">
      <formula>"seeker"</formula>
    </cfRule>
    <cfRule type="cellIs" dxfId="1236" priority="2195" operator="equal">
      <formula>"neutral"</formula>
    </cfRule>
    <cfRule type="cellIs" dxfId="1235" priority="2196" operator="equal">
      <formula>"rogue"</formula>
    </cfRule>
    <cfRule type="cellIs" dxfId="1234" priority="2197" operator="equal">
      <formula>"Guardian"</formula>
    </cfRule>
    <cfRule type="cellIs" dxfId="1233" priority="2198" operator="equal">
      <formula>"Survivor"</formula>
    </cfRule>
    <cfRule type="cellIs" dxfId="1232" priority="2199" operator="equal">
      <formula>"Mystic"</formula>
    </cfRule>
  </conditionalFormatting>
  <conditionalFormatting sqref="K1172">
    <cfRule type="cellIs" dxfId="1231" priority="2182" operator="equal">
      <formula>"seeker"</formula>
    </cfRule>
    <cfRule type="cellIs" dxfId="1230" priority="2183" operator="equal">
      <formula>"neutral"</formula>
    </cfRule>
    <cfRule type="cellIs" dxfId="1229" priority="2184" operator="equal">
      <formula>"rogue"</formula>
    </cfRule>
    <cfRule type="cellIs" dxfId="1228" priority="2185" operator="equal">
      <formula>"Guardian"</formula>
    </cfRule>
    <cfRule type="cellIs" dxfId="1227" priority="2186" operator="equal">
      <formula>"Survivor"</formula>
    </cfRule>
    <cfRule type="cellIs" dxfId="1226" priority="2187" operator="equal">
      <formula>"Mystic"</formula>
    </cfRule>
  </conditionalFormatting>
  <conditionalFormatting sqref="AL1172">
    <cfRule type="cellIs" dxfId="1225" priority="2176" operator="equal">
      <formula>"Seeker"</formula>
    </cfRule>
    <cfRule type="cellIs" dxfId="1224" priority="2177" operator="equal">
      <formula>"Neutral"</formula>
    </cfRule>
    <cfRule type="cellIs" dxfId="1223" priority="2178" operator="equal">
      <formula>"Rogue"</formula>
    </cfRule>
    <cfRule type="cellIs" dxfId="1222" priority="2179" operator="equal">
      <formula>"Guardian"</formula>
    </cfRule>
    <cfRule type="cellIs" dxfId="1221" priority="2180" operator="equal">
      <formula>"Survivor"</formula>
    </cfRule>
    <cfRule type="cellIs" dxfId="1220" priority="2181" operator="equal">
      <formula>"Mystic"</formula>
    </cfRule>
  </conditionalFormatting>
  <conditionalFormatting sqref="AM1150">
    <cfRule type="cellIs" dxfId="1219" priority="2170" operator="equal">
      <formula>"seeker"</formula>
    </cfRule>
    <cfRule type="cellIs" dxfId="1218" priority="2171" operator="equal">
      <formula>"neutral"</formula>
    </cfRule>
    <cfRule type="cellIs" dxfId="1217" priority="2172" operator="equal">
      <formula>"rogue"</formula>
    </cfRule>
    <cfRule type="cellIs" dxfId="1216" priority="2173" operator="equal">
      <formula>"Guardian"</formula>
    </cfRule>
    <cfRule type="cellIs" dxfId="1215" priority="2174" operator="equal">
      <formula>"Survivor"</formula>
    </cfRule>
    <cfRule type="cellIs" dxfId="1214" priority="2175" operator="equal">
      <formula>"Mystic"</formula>
    </cfRule>
  </conditionalFormatting>
  <conditionalFormatting sqref="AM1219 K1219 K1178:K1191 AM1191 AM1197:AM1198 K1195:K1198 AM1209:AM1217 K1203:K1217 AM1202:AM1207">
    <cfRule type="cellIs" dxfId="1213" priority="1924" operator="equal">
      <formula>"seeker"</formula>
    </cfRule>
    <cfRule type="cellIs" dxfId="1212" priority="1925" operator="equal">
      <formula>"neutral"</formula>
    </cfRule>
    <cfRule type="cellIs" dxfId="1211" priority="1926" operator="equal">
      <formula>"rogue"</formula>
    </cfRule>
    <cfRule type="cellIs" dxfId="1210" priority="1927" operator="equal">
      <formula>"Guardian"</formula>
    </cfRule>
    <cfRule type="cellIs" dxfId="1209" priority="1928" operator="equal">
      <formula>"Survivor"</formula>
    </cfRule>
    <cfRule type="cellIs" dxfId="1208" priority="1929" operator="equal">
      <formula>"Mystic"</formula>
    </cfRule>
  </conditionalFormatting>
  <conditionalFormatting sqref="AL1182:AL1188">
    <cfRule type="cellIs" dxfId="1207" priority="1918" operator="equal">
      <formula>"Seeker"</formula>
    </cfRule>
    <cfRule type="cellIs" dxfId="1206" priority="1919" operator="equal">
      <formula>"Neutral"</formula>
    </cfRule>
    <cfRule type="cellIs" dxfId="1205" priority="1920" operator="equal">
      <formula>"Rogue"</formula>
    </cfRule>
    <cfRule type="cellIs" dxfId="1204" priority="1921" operator="equal">
      <formula>"Guardian"</formula>
    </cfRule>
    <cfRule type="cellIs" dxfId="1203" priority="1922" operator="equal">
      <formula>"Survivor"</formula>
    </cfRule>
    <cfRule type="cellIs" dxfId="1202" priority="1923" operator="equal">
      <formula>"Mystic"</formula>
    </cfRule>
  </conditionalFormatting>
  <conditionalFormatting sqref="AM1201">
    <cfRule type="cellIs" dxfId="1201" priority="1912" operator="equal">
      <formula>"seeker"</formula>
    </cfRule>
    <cfRule type="cellIs" dxfId="1200" priority="1913" operator="equal">
      <formula>"neutral"</formula>
    </cfRule>
    <cfRule type="cellIs" dxfId="1199" priority="1914" operator="equal">
      <formula>"rogue"</formula>
    </cfRule>
    <cfRule type="cellIs" dxfId="1198" priority="1915" operator="equal">
      <formula>"Guardian"</formula>
    </cfRule>
    <cfRule type="cellIs" dxfId="1197" priority="1916" operator="equal">
      <formula>"Survivor"</formula>
    </cfRule>
    <cfRule type="cellIs" dxfId="1196" priority="1917" operator="equal">
      <formula>"Mystic"</formula>
    </cfRule>
  </conditionalFormatting>
  <conditionalFormatting sqref="K1177">
    <cfRule type="cellIs" dxfId="1195" priority="1906" operator="equal">
      <formula>"Seeker"</formula>
    </cfRule>
    <cfRule type="cellIs" dxfId="1194" priority="1907" operator="equal">
      <formula>"Neutral"</formula>
    </cfRule>
    <cfRule type="cellIs" dxfId="1193" priority="1908" operator="equal">
      <formula>"Rogue"</formula>
    </cfRule>
    <cfRule type="cellIs" dxfId="1192" priority="1909" operator="equal">
      <formula>"Guardian"</formula>
    </cfRule>
    <cfRule type="cellIs" dxfId="1191" priority="1910" operator="equal">
      <formula>"Survivor"</formula>
    </cfRule>
    <cfRule type="cellIs" dxfId="1190" priority="1911" operator="equal">
      <formula>"Mystic"</formula>
    </cfRule>
  </conditionalFormatting>
  <conditionalFormatting sqref="AM1178:AM1181">
    <cfRule type="cellIs" dxfId="1189" priority="1900" operator="equal">
      <formula>"seeker"</formula>
    </cfRule>
    <cfRule type="cellIs" dxfId="1188" priority="1901" operator="equal">
      <formula>"neutral"</formula>
    </cfRule>
    <cfRule type="cellIs" dxfId="1187" priority="1902" operator="equal">
      <formula>"rogue"</formula>
    </cfRule>
    <cfRule type="cellIs" dxfId="1186" priority="1903" operator="equal">
      <formula>"Guardian"</formula>
    </cfRule>
    <cfRule type="cellIs" dxfId="1185" priority="1904" operator="equal">
      <formula>"Survivor"</formula>
    </cfRule>
    <cfRule type="cellIs" dxfId="1184" priority="1905" operator="equal">
      <formula>"Mystic"</formula>
    </cfRule>
  </conditionalFormatting>
  <conditionalFormatting sqref="AM1177">
    <cfRule type="cellIs" dxfId="1183" priority="1894" operator="equal">
      <formula>"Seeker"</formula>
    </cfRule>
    <cfRule type="cellIs" dxfId="1182" priority="1895" operator="equal">
      <formula>"Neutral"</formula>
    </cfRule>
    <cfRule type="cellIs" dxfId="1181" priority="1896" operator="equal">
      <formula>"Rogue"</formula>
    </cfRule>
    <cfRule type="cellIs" dxfId="1180" priority="1897" operator="equal">
      <formula>"Guardian"</formula>
    </cfRule>
    <cfRule type="cellIs" dxfId="1179" priority="1898" operator="equal">
      <formula>"Survivor"</formula>
    </cfRule>
    <cfRule type="cellIs" dxfId="1178" priority="1899" operator="equal">
      <formula>"Mystic"</formula>
    </cfRule>
  </conditionalFormatting>
  <conditionalFormatting sqref="K1192">
    <cfRule type="cellIs" dxfId="1177" priority="1888" operator="equal">
      <formula>"Seeker"</formula>
    </cfRule>
    <cfRule type="cellIs" dxfId="1176" priority="1889" operator="equal">
      <formula>"Neutral"</formula>
    </cfRule>
    <cfRule type="cellIs" dxfId="1175" priority="1890" operator="equal">
      <formula>"Rogue"</formula>
    </cfRule>
    <cfRule type="cellIs" dxfId="1174" priority="1891" operator="equal">
      <formula>"Guardian"</formula>
    </cfRule>
    <cfRule type="cellIs" dxfId="1173" priority="1892" operator="equal">
      <formula>"Survivor"</formula>
    </cfRule>
    <cfRule type="cellIs" dxfId="1172" priority="1893" operator="equal">
      <formula>"Mystic"</formula>
    </cfRule>
  </conditionalFormatting>
  <conditionalFormatting sqref="AM1192">
    <cfRule type="cellIs" dxfId="1171" priority="1882" operator="equal">
      <formula>"Seeker"</formula>
    </cfRule>
    <cfRule type="cellIs" dxfId="1170" priority="1883" operator="equal">
      <formula>"Neutral"</formula>
    </cfRule>
    <cfRule type="cellIs" dxfId="1169" priority="1884" operator="equal">
      <formula>"Rogue"</formula>
    </cfRule>
    <cfRule type="cellIs" dxfId="1168" priority="1885" operator="equal">
      <formula>"Guardian"</formula>
    </cfRule>
    <cfRule type="cellIs" dxfId="1167" priority="1886" operator="equal">
      <formula>"Survivor"</formula>
    </cfRule>
    <cfRule type="cellIs" dxfId="1166" priority="1887" operator="equal">
      <formula>"Mystic"</formula>
    </cfRule>
  </conditionalFormatting>
  <conditionalFormatting sqref="K1193">
    <cfRule type="cellIs" dxfId="1165" priority="1876" operator="equal">
      <formula>"Seeker"</formula>
    </cfRule>
    <cfRule type="cellIs" dxfId="1164" priority="1877" operator="equal">
      <formula>"Neutral"</formula>
    </cfRule>
    <cfRule type="cellIs" dxfId="1163" priority="1878" operator="equal">
      <formula>"Rogue"</formula>
    </cfRule>
    <cfRule type="cellIs" dxfId="1162" priority="1879" operator="equal">
      <formula>"Guardian"</formula>
    </cfRule>
    <cfRule type="cellIs" dxfId="1161" priority="1880" operator="equal">
      <formula>"Survivor"</formula>
    </cfRule>
    <cfRule type="cellIs" dxfId="1160" priority="1881" operator="equal">
      <formula>"Mystic"</formula>
    </cfRule>
  </conditionalFormatting>
  <conditionalFormatting sqref="K1194">
    <cfRule type="cellIs" dxfId="1159" priority="1870" operator="equal">
      <formula>"Seeker"</formula>
    </cfRule>
    <cfRule type="cellIs" dxfId="1158" priority="1871" operator="equal">
      <formula>"Neutral"</formula>
    </cfRule>
    <cfRule type="cellIs" dxfId="1157" priority="1872" operator="equal">
      <formula>"Rogue"</formula>
    </cfRule>
    <cfRule type="cellIs" dxfId="1156" priority="1873" operator="equal">
      <formula>"Guardian"</formula>
    </cfRule>
    <cfRule type="cellIs" dxfId="1155" priority="1874" operator="equal">
      <formula>"Survivor"</formula>
    </cfRule>
    <cfRule type="cellIs" dxfId="1154" priority="1875" operator="equal">
      <formula>"Mystic"</formula>
    </cfRule>
  </conditionalFormatting>
  <conditionalFormatting sqref="K1199">
    <cfRule type="cellIs" dxfId="1153" priority="1864" operator="equal">
      <formula>"seeker"</formula>
    </cfRule>
    <cfRule type="cellIs" dxfId="1152" priority="1865" operator="equal">
      <formula>"neutral"</formula>
    </cfRule>
    <cfRule type="cellIs" dxfId="1151" priority="1866" operator="equal">
      <formula>"rogue"</formula>
    </cfRule>
    <cfRule type="cellIs" dxfId="1150" priority="1867" operator="equal">
      <formula>"Guardian"</formula>
    </cfRule>
    <cfRule type="cellIs" dxfId="1149" priority="1868" operator="equal">
      <formula>"Survivor"</formula>
    </cfRule>
    <cfRule type="cellIs" dxfId="1148" priority="1869" operator="equal">
      <formula>"Mystic"</formula>
    </cfRule>
  </conditionalFormatting>
  <conditionalFormatting sqref="AM1199">
    <cfRule type="cellIs" dxfId="1147" priority="1858" operator="equal">
      <formula>"seeker"</formula>
    </cfRule>
    <cfRule type="cellIs" dxfId="1146" priority="1859" operator="equal">
      <formula>"neutral"</formula>
    </cfRule>
    <cfRule type="cellIs" dxfId="1145" priority="1860" operator="equal">
      <formula>"rogue"</formula>
    </cfRule>
    <cfRule type="cellIs" dxfId="1144" priority="1861" operator="equal">
      <formula>"Guardian"</formula>
    </cfRule>
    <cfRule type="cellIs" dxfId="1143" priority="1862" operator="equal">
      <formula>"Survivor"</formula>
    </cfRule>
    <cfRule type="cellIs" dxfId="1142" priority="1863" operator="equal">
      <formula>"Mystic"</formula>
    </cfRule>
  </conditionalFormatting>
  <conditionalFormatting sqref="K1200">
    <cfRule type="cellIs" dxfId="1141" priority="1852" operator="equal">
      <formula>"seeker"</formula>
    </cfRule>
    <cfRule type="cellIs" dxfId="1140" priority="1853" operator="equal">
      <formula>"neutral"</formula>
    </cfRule>
    <cfRule type="cellIs" dxfId="1139" priority="1854" operator="equal">
      <formula>"rogue"</formula>
    </cfRule>
    <cfRule type="cellIs" dxfId="1138" priority="1855" operator="equal">
      <formula>"Guardian"</formula>
    </cfRule>
    <cfRule type="cellIs" dxfId="1137" priority="1856" operator="equal">
      <formula>"Survivor"</formula>
    </cfRule>
    <cfRule type="cellIs" dxfId="1136" priority="1857" operator="equal">
      <formula>"Mystic"</formula>
    </cfRule>
  </conditionalFormatting>
  <conditionalFormatting sqref="AM1200">
    <cfRule type="cellIs" dxfId="1135" priority="1846" operator="equal">
      <formula>"seeker"</formula>
    </cfRule>
    <cfRule type="cellIs" dxfId="1134" priority="1847" operator="equal">
      <formula>"neutral"</formula>
    </cfRule>
    <cfRule type="cellIs" dxfId="1133" priority="1848" operator="equal">
      <formula>"rogue"</formula>
    </cfRule>
    <cfRule type="cellIs" dxfId="1132" priority="1849" operator="equal">
      <formula>"Guardian"</formula>
    </cfRule>
    <cfRule type="cellIs" dxfId="1131" priority="1850" operator="equal">
      <formula>"Survivor"</formula>
    </cfRule>
    <cfRule type="cellIs" dxfId="1130" priority="1851" operator="equal">
      <formula>"Mystic"</formula>
    </cfRule>
  </conditionalFormatting>
  <conditionalFormatting sqref="K1201">
    <cfRule type="cellIs" dxfId="1129" priority="1840" operator="equal">
      <formula>"seeker"</formula>
    </cfRule>
    <cfRule type="cellIs" dxfId="1128" priority="1841" operator="equal">
      <formula>"neutral"</formula>
    </cfRule>
    <cfRule type="cellIs" dxfId="1127" priority="1842" operator="equal">
      <formula>"rogue"</formula>
    </cfRule>
    <cfRule type="cellIs" dxfId="1126" priority="1843" operator="equal">
      <formula>"Guardian"</formula>
    </cfRule>
    <cfRule type="cellIs" dxfId="1125" priority="1844" operator="equal">
      <formula>"Survivor"</formula>
    </cfRule>
    <cfRule type="cellIs" dxfId="1124" priority="1845" operator="equal">
      <formula>"Mystic"</formula>
    </cfRule>
  </conditionalFormatting>
  <conditionalFormatting sqref="K1202">
    <cfRule type="cellIs" dxfId="1123" priority="1834" operator="equal">
      <formula>"seeker"</formula>
    </cfRule>
    <cfRule type="cellIs" dxfId="1122" priority="1835" operator="equal">
      <formula>"neutral"</formula>
    </cfRule>
    <cfRule type="cellIs" dxfId="1121" priority="1836" operator="equal">
      <formula>"rogue"</formula>
    </cfRule>
    <cfRule type="cellIs" dxfId="1120" priority="1837" operator="equal">
      <formula>"Guardian"</formula>
    </cfRule>
    <cfRule type="cellIs" dxfId="1119" priority="1838" operator="equal">
      <formula>"Survivor"</formula>
    </cfRule>
    <cfRule type="cellIs" dxfId="1118" priority="1839" operator="equal">
      <formula>"Mystic"</formula>
    </cfRule>
  </conditionalFormatting>
  <conditionalFormatting sqref="AM1208">
    <cfRule type="cellIs" dxfId="1117" priority="1828" operator="equal">
      <formula>"seeker"</formula>
    </cfRule>
    <cfRule type="cellIs" dxfId="1116" priority="1829" operator="equal">
      <formula>"neutral"</formula>
    </cfRule>
    <cfRule type="cellIs" dxfId="1115" priority="1830" operator="equal">
      <formula>"rogue"</formula>
    </cfRule>
    <cfRule type="cellIs" dxfId="1114" priority="1831" operator="equal">
      <formula>"Guardian"</formula>
    </cfRule>
    <cfRule type="cellIs" dxfId="1113" priority="1832" operator="equal">
      <formula>"Survivor"</formula>
    </cfRule>
    <cfRule type="cellIs" dxfId="1112" priority="1833" operator="equal">
      <formula>"Mystic"</formula>
    </cfRule>
  </conditionalFormatting>
  <conditionalFormatting sqref="K1218">
    <cfRule type="cellIs" dxfId="1111" priority="1822" operator="equal">
      <formula>"seeker"</formula>
    </cfRule>
    <cfRule type="cellIs" dxfId="1110" priority="1823" operator="equal">
      <formula>"neutral"</formula>
    </cfRule>
    <cfRule type="cellIs" dxfId="1109" priority="1824" operator="equal">
      <formula>"rogue"</formula>
    </cfRule>
    <cfRule type="cellIs" dxfId="1108" priority="1825" operator="equal">
      <formula>"Guardian"</formula>
    </cfRule>
    <cfRule type="cellIs" dxfId="1107" priority="1826" operator="equal">
      <formula>"Survivor"</formula>
    </cfRule>
    <cfRule type="cellIs" dxfId="1106" priority="1827" operator="equal">
      <formula>"Mystic"</formula>
    </cfRule>
  </conditionalFormatting>
  <conditionalFormatting sqref="AL1218">
    <cfRule type="cellIs" dxfId="1105" priority="1816" operator="equal">
      <formula>"Seeker"</formula>
    </cfRule>
    <cfRule type="cellIs" dxfId="1104" priority="1817" operator="equal">
      <formula>"Neutral"</formula>
    </cfRule>
    <cfRule type="cellIs" dxfId="1103" priority="1818" operator="equal">
      <formula>"Rogue"</formula>
    </cfRule>
    <cfRule type="cellIs" dxfId="1102" priority="1819" operator="equal">
      <formula>"Guardian"</formula>
    </cfRule>
    <cfRule type="cellIs" dxfId="1101" priority="1820" operator="equal">
      <formula>"Survivor"</formula>
    </cfRule>
    <cfRule type="cellIs" dxfId="1100" priority="1821" operator="equal">
      <formula>"Mystic"</formula>
    </cfRule>
  </conditionalFormatting>
  <conditionalFormatting sqref="AM1196">
    <cfRule type="cellIs" dxfId="1099" priority="1810" operator="equal">
      <formula>"seeker"</formula>
    </cfRule>
    <cfRule type="cellIs" dxfId="1098" priority="1811" operator="equal">
      <formula>"neutral"</formula>
    </cfRule>
    <cfRule type="cellIs" dxfId="1097" priority="1812" operator="equal">
      <formula>"rogue"</formula>
    </cfRule>
    <cfRule type="cellIs" dxfId="1096" priority="1813" operator="equal">
      <formula>"Guardian"</formula>
    </cfRule>
    <cfRule type="cellIs" dxfId="1095" priority="1814" operator="equal">
      <formula>"Survivor"</formula>
    </cfRule>
    <cfRule type="cellIs" dxfId="1094" priority="1815" operator="equal">
      <formula>"Mystic"</formula>
    </cfRule>
  </conditionalFormatting>
  <conditionalFormatting sqref="K1221:K1232">
    <cfRule type="cellIs" dxfId="1093" priority="1804" operator="equal">
      <formula>"seeker"</formula>
    </cfRule>
    <cfRule type="cellIs" dxfId="1092" priority="1805" operator="equal">
      <formula>"neutral"</formula>
    </cfRule>
    <cfRule type="cellIs" dxfId="1091" priority="1806" operator="equal">
      <formula>"rogue"</formula>
    </cfRule>
    <cfRule type="cellIs" dxfId="1090" priority="1807" operator="equal">
      <formula>"Guardian"</formula>
    </cfRule>
    <cfRule type="cellIs" dxfId="1089" priority="1808" operator="equal">
      <formula>"Survivor"</formula>
    </cfRule>
    <cfRule type="cellIs" dxfId="1088" priority="1809" operator="equal">
      <formula>"Mystic"</formula>
    </cfRule>
  </conditionalFormatting>
  <conditionalFormatting sqref="AL1225:AL1231">
    <cfRule type="cellIs" dxfId="1087" priority="1798" operator="equal">
      <formula>"Seeker"</formula>
    </cfRule>
    <cfRule type="cellIs" dxfId="1086" priority="1799" operator="equal">
      <formula>"Neutral"</formula>
    </cfRule>
    <cfRule type="cellIs" dxfId="1085" priority="1800" operator="equal">
      <formula>"Rogue"</formula>
    </cfRule>
    <cfRule type="cellIs" dxfId="1084" priority="1801" operator="equal">
      <formula>"Guardian"</formula>
    </cfRule>
    <cfRule type="cellIs" dxfId="1083" priority="1802" operator="equal">
      <formula>"Survivor"</formula>
    </cfRule>
    <cfRule type="cellIs" dxfId="1082" priority="1803" operator="equal">
      <formula>"Mystic"</formula>
    </cfRule>
  </conditionalFormatting>
  <conditionalFormatting sqref="K1220">
    <cfRule type="cellIs" dxfId="1081" priority="1792" operator="equal">
      <formula>"Seeker"</formula>
    </cfRule>
    <cfRule type="cellIs" dxfId="1080" priority="1793" operator="equal">
      <formula>"Neutral"</formula>
    </cfRule>
    <cfRule type="cellIs" dxfId="1079" priority="1794" operator="equal">
      <formula>"Rogue"</formula>
    </cfRule>
    <cfRule type="cellIs" dxfId="1078" priority="1795" operator="equal">
      <formula>"Guardian"</formula>
    </cfRule>
    <cfRule type="cellIs" dxfId="1077" priority="1796" operator="equal">
      <formula>"Survivor"</formula>
    </cfRule>
    <cfRule type="cellIs" dxfId="1076" priority="1797" operator="equal">
      <formula>"Mystic"</formula>
    </cfRule>
  </conditionalFormatting>
  <conditionalFormatting sqref="AM1221:AM1224">
    <cfRule type="cellIs" dxfId="1075" priority="1786" operator="equal">
      <formula>"seeker"</formula>
    </cfRule>
    <cfRule type="cellIs" dxfId="1074" priority="1787" operator="equal">
      <formula>"neutral"</formula>
    </cfRule>
    <cfRule type="cellIs" dxfId="1073" priority="1788" operator="equal">
      <formula>"rogue"</formula>
    </cfRule>
    <cfRule type="cellIs" dxfId="1072" priority="1789" operator="equal">
      <formula>"Guardian"</formula>
    </cfRule>
    <cfRule type="cellIs" dxfId="1071" priority="1790" operator="equal">
      <formula>"Survivor"</formula>
    </cfRule>
    <cfRule type="cellIs" dxfId="1070" priority="1791" operator="equal">
      <formula>"Mystic"</formula>
    </cfRule>
  </conditionalFormatting>
  <conditionalFormatting sqref="AM1220">
    <cfRule type="cellIs" dxfId="1069" priority="1780" operator="equal">
      <formula>"Seeker"</formula>
    </cfRule>
    <cfRule type="cellIs" dxfId="1068" priority="1781" operator="equal">
      <formula>"Neutral"</formula>
    </cfRule>
    <cfRule type="cellIs" dxfId="1067" priority="1782" operator="equal">
      <formula>"Rogue"</formula>
    </cfRule>
    <cfRule type="cellIs" dxfId="1066" priority="1783" operator="equal">
      <formula>"Guardian"</formula>
    </cfRule>
    <cfRule type="cellIs" dxfId="1065" priority="1784" operator="equal">
      <formula>"Survivor"</formula>
    </cfRule>
    <cfRule type="cellIs" dxfId="1064" priority="1785" operator="equal">
      <formula>"Mystic"</formula>
    </cfRule>
  </conditionalFormatting>
  <conditionalFormatting sqref="AM1275:AM1292 K1275:K1292 K1234:K1247 AM1247 AM1253:AM1254 K1251:K1254 AM1265:AM1273 K1259:K1273 AM1258:AM1263">
    <cfRule type="cellIs" dxfId="1063" priority="1654" operator="equal">
      <formula>"seeker"</formula>
    </cfRule>
    <cfRule type="cellIs" dxfId="1062" priority="1655" operator="equal">
      <formula>"neutral"</formula>
    </cfRule>
    <cfRule type="cellIs" dxfId="1061" priority="1656" operator="equal">
      <formula>"rogue"</formula>
    </cfRule>
    <cfRule type="cellIs" dxfId="1060" priority="1657" operator="equal">
      <formula>"Guardian"</formula>
    </cfRule>
    <cfRule type="cellIs" dxfId="1059" priority="1658" operator="equal">
      <formula>"Survivor"</formula>
    </cfRule>
    <cfRule type="cellIs" dxfId="1058" priority="1659" operator="equal">
      <formula>"Mystic"</formula>
    </cfRule>
  </conditionalFormatting>
  <conditionalFormatting sqref="AL1238:AL1244">
    <cfRule type="cellIs" dxfId="1057" priority="1648" operator="equal">
      <formula>"Seeker"</formula>
    </cfRule>
    <cfRule type="cellIs" dxfId="1056" priority="1649" operator="equal">
      <formula>"Neutral"</formula>
    </cfRule>
    <cfRule type="cellIs" dxfId="1055" priority="1650" operator="equal">
      <formula>"Rogue"</formula>
    </cfRule>
    <cfRule type="cellIs" dxfId="1054" priority="1651" operator="equal">
      <formula>"Guardian"</formula>
    </cfRule>
    <cfRule type="cellIs" dxfId="1053" priority="1652" operator="equal">
      <formula>"Survivor"</formula>
    </cfRule>
    <cfRule type="cellIs" dxfId="1052" priority="1653" operator="equal">
      <formula>"Mystic"</formula>
    </cfRule>
  </conditionalFormatting>
  <conditionalFormatting sqref="AM1257">
    <cfRule type="cellIs" dxfId="1051" priority="1642" operator="equal">
      <formula>"seeker"</formula>
    </cfRule>
    <cfRule type="cellIs" dxfId="1050" priority="1643" operator="equal">
      <formula>"neutral"</formula>
    </cfRule>
    <cfRule type="cellIs" dxfId="1049" priority="1644" operator="equal">
      <formula>"rogue"</formula>
    </cfRule>
    <cfRule type="cellIs" dxfId="1048" priority="1645" operator="equal">
      <formula>"Guardian"</formula>
    </cfRule>
    <cfRule type="cellIs" dxfId="1047" priority="1646" operator="equal">
      <formula>"Survivor"</formula>
    </cfRule>
    <cfRule type="cellIs" dxfId="1046" priority="1647" operator="equal">
      <formula>"Mystic"</formula>
    </cfRule>
  </conditionalFormatting>
  <conditionalFormatting sqref="K1233">
    <cfRule type="cellIs" dxfId="1045" priority="1636" operator="equal">
      <formula>"Seeker"</formula>
    </cfRule>
    <cfRule type="cellIs" dxfId="1044" priority="1637" operator="equal">
      <formula>"Neutral"</formula>
    </cfRule>
    <cfRule type="cellIs" dxfId="1043" priority="1638" operator="equal">
      <formula>"Rogue"</formula>
    </cfRule>
    <cfRule type="cellIs" dxfId="1042" priority="1639" operator="equal">
      <formula>"Guardian"</formula>
    </cfRule>
    <cfRule type="cellIs" dxfId="1041" priority="1640" operator="equal">
      <formula>"Survivor"</formula>
    </cfRule>
    <cfRule type="cellIs" dxfId="1040" priority="1641" operator="equal">
      <formula>"Mystic"</formula>
    </cfRule>
  </conditionalFormatting>
  <conditionalFormatting sqref="AM1234:AM1237">
    <cfRule type="cellIs" dxfId="1039" priority="1630" operator="equal">
      <formula>"seeker"</formula>
    </cfRule>
    <cfRule type="cellIs" dxfId="1038" priority="1631" operator="equal">
      <formula>"neutral"</formula>
    </cfRule>
    <cfRule type="cellIs" dxfId="1037" priority="1632" operator="equal">
      <formula>"rogue"</formula>
    </cfRule>
    <cfRule type="cellIs" dxfId="1036" priority="1633" operator="equal">
      <formula>"Guardian"</formula>
    </cfRule>
    <cfRule type="cellIs" dxfId="1035" priority="1634" operator="equal">
      <formula>"Survivor"</formula>
    </cfRule>
    <cfRule type="cellIs" dxfId="1034" priority="1635" operator="equal">
      <formula>"Mystic"</formula>
    </cfRule>
  </conditionalFormatting>
  <conditionalFormatting sqref="AM1233">
    <cfRule type="cellIs" dxfId="1033" priority="1624" operator="equal">
      <formula>"Seeker"</formula>
    </cfRule>
    <cfRule type="cellIs" dxfId="1032" priority="1625" operator="equal">
      <formula>"Neutral"</formula>
    </cfRule>
    <cfRule type="cellIs" dxfId="1031" priority="1626" operator="equal">
      <formula>"Rogue"</formula>
    </cfRule>
    <cfRule type="cellIs" dxfId="1030" priority="1627" operator="equal">
      <formula>"Guardian"</formula>
    </cfRule>
    <cfRule type="cellIs" dxfId="1029" priority="1628" operator="equal">
      <formula>"Survivor"</formula>
    </cfRule>
    <cfRule type="cellIs" dxfId="1028" priority="1629" operator="equal">
      <formula>"Mystic"</formula>
    </cfRule>
  </conditionalFormatting>
  <conditionalFormatting sqref="K1248">
    <cfRule type="cellIs" dxfId="1027" priority="1618" operator="equal">
      <formula>"Seeker"</formula>
    </cfRule>
    <cfRule type="cellIs" dxfId="1026" priority="1619" operator="equal">
      <formula>"Neutral"</formula>
    </cfRule>
    <cfRule type="cellIs" dxfId="1025" priority="1620" operator="equal">
      <formula>"Rogue"</formula>
    </cfRule>
    <cfRule type="cellIs" dxfId="1024" priority="1621" operator="equal">
      <formula>"Guardian"</formula>
    </cfRule>
    <cfRule type="cellIs" dxfId="1023" priority="1622" operator="equal">
      <formula>"Survivor"</formula>
    </cfRule>
    <cfRule type="cellIs" dxfId="1022" priority="1623" operator="equal">
      <formula>"Mystic"</formula>
    </cfRule>
  </conditionalFormatting>
  <conditionalFormatting sqref="AM1248">
    <cfRule type="cellIs" dxfId="1021" priority="1612" operator="equal">
      <formula>"Seeker"</formula>
    </cfRule>
    <cfRule type="cellIs" dxfId="1020" priority="1613" operator="equal">
      <formula>"Neutral"</formula>
    </cfRule>
    <cfRule type="cellIs" dxfId="1019" priority="1614" operator="equal">
      <formula>"Rogue"</formula>
    </cfRule>
    <cfRule type="cellIs" dxfId="1018" priority="1615" operator="equal">
      <formula>"Guardian"</formula>
    </cfRule>
    <cfRule type="cellIs" dxfId="1017" priority="1616" operator="equal">
      <formula>"Survivor"</formula>
    </cfRule>
    <cfRule type="cellIs" dxfId="1016" priority="1617" operator="equal">
      <formula>"Mystic"</formula>
    </cfRule>
  </conditionalFormatting>
  <conditionalFormatting sqref="K1249">
    <cfRule type="cellIs" dxfId="1015" priority="1606" operator="equal">
      <formula>"Seeker"</formula>
    </cfRule>
    <cfRule type="cellIs" dxfId="1014" priority="1607" operator="equal">
      <formula>"Neutral"</formula>
    </cfRule>
    <cfRule type="cellIs" dxfId="1013" priority="1608" operator="equal">
      <formula>"Rogue"</formula>
    </cfRule>
    <cfRule type="cellIs" dxfId="1012" priority="1609" operator="equal">
      <formula>"Guardian"</formula>
    </cfRule>
    <cfRule type="cellIs" dxfId="1011" priority="1610" operator="equal">
      <formula>"Survivor"</formula>
    </cfRule>
    <cfRule type="cellIs" dxfId="1010" priority="1611" operator="equal">
      <formula>"Mystic"</formula>
    </cfRule>
  </conditionalFormatting>
  <conditionalFormatting sqref="K1250">
    <cfRule type="cellIs" dxfId="1009" priority="1600" operator="equal">
      <formula>"Seeker"</formula>
    </cfRule>
    <cfRule type="cellIs" dxfId="1008" priority="1601" operator="equal">
      <formula>"Neutral"</formula>
    </cfRule>
    <cfRule type="cellIs" dxfId="1007" priority="1602" operator="equal">
      <formula>"Rogue"</formula>
    </cfRule>
    <cfRule type="cellIs" dxfId="1006" priority="1603" operator="equal">
      <formula>"Guardian"</formula>
    </cfRule>
    <cfRule type="cellIs" dxfId="1005" priority="1604" operator="equal">
      <formula>"Survivor"</formula>
    </cfRule>
    <cfRule type="cellIs" dxfId="1004" priority="1605" operator="equal">
      <formula>"Mystic"</formula>
    </cfRule>
  </conditionalFormatting>
  <conditionalFormatting sqref="K1255">
    <cfRule type="cellIs" dxfId="1003" priority="1594" operator="equal">
      <formula>"seeker"</formula>
    </cfRule>
    <cfRule type="cellIs" dxfId="1002" priority="1595" operator="equal">
      <formula>"neutral"</formula>
    </cfRule>
    <cfRule type="cellIs" dxfId="1001" priority="1596" operator="equal">
      <formula>"rogue"</formula>
    </cfRule>
    <cfRule type="cellIs" dxfId="1000" priority="1597" operator="equal">
      <formula>"Guardian"</formula>
    </cfRule>
    <cfRule type="cellIs" dxfId="999" priority="1598" operator="equal">
      <formula>"Survivor"</formula>
    </cfRule>
    <cfRule type="cellIs" dxfId="998" priority="1599" operator="equal">
      <formula>"Mystic"</formula>
    </cfRule>
  </conditionalFormatting>
  <conditionalFormatting sqref="AM1255">
    <cfRule type="cellIs" dxfId="997" priority="1588" operator="equal">
      <formula>"seeker"</formula>
    </cfRule>
    <cfRule type="cellIs" dxfId="996" priority="1589" operator="equal">
      <formula>"neutral"</formula>
    </cfRule>
    <cfRule type="cellIs" dxfId="995" priority="1590" operator="equal">
      <formula>"rogue"</formula>
    </cfRule>
    <cfRule type="cellIs" dxfId="994" priority="1591" operator="equal">
      <formula>"Guardian"</formula>
    </cfRule>
    <cfRule type="cellIs" dxfId="993" priority="1592" operator="equal">
      <formula>"Survivor"</formula>
    </cfRule>
    <cfRule type="cellIs" dxfId="992" priority="1593" operator="equal">
      <formula>"Mystic"</formula>
    </cfRule>
  </conditionalFormatting>
  <conditionalFormatting sqref="K1256">
    <cfRule type="cellIs" dxfId="991" priority="1582" operator="equal">
      <formula>"seeker"</formula>
    </cfRule>
    <cfRule type="cellIs" dxfId="990" priority="1583" operator="equal">
      <formula>"neutral"</formula>
    </cfRule>
    <cfRule type="cellIs" dxfId="989" priority="1584" operator="equal">
      <formula>"rogue"</formula>
    </cfRule>
    <cfRule type="cellIs" dxfId="988" priority="1585" operator="equal">
      <formula>"Guardian"</formula>
    </cfRule>
    <cfRule type="cellIs" dxfId="987" priority="1586" operator="equal">
      <formula>"Survivor"</formula>
    </cfRule>
    <cfRule type="cellIs" dxfId="986" priority="1587" operator="equal">
      <formula>"Mystic"</formula>
    </cfRule>
  </conditionalFormatting>
  <conditionalFormatting sqref="AM1256">
    <cfRule type="cellIs" dxfId="985" priority="1576" operator="equal">
      <formula>"seeker"</formula>
    </cfRule>
    <cfRule type="cellIs" dxfId="984" priority="1577" operator="equal">
      <formula>"neutral"</formula>
    </cfRule>
    <cfRule type="cellIs" dxfId="983" priority="1578" operator="equal">
      <formula>"rogue"</formula>
    </cfRule>
    <cfRule type="cellIs" dxfId="982" priority="1579" operator="equal">
      <formula>"Guardian"</formula>
    </cfRule>
    <cfRule type="cellIs" dxfId="981" priority="1580" operator="equal">
      <formula>"Survivor"</formula>
    </cfRule>
    <cfRule type="cellIs" dxfId="980" priority="1581" operator="equal">
      <formula>"Mystic"</formula>
    </cfRule>
  </conditionalFormatting>
  <conditionalFormatting sqref="K1257">
    <cfRule type="cellIs" dxfId="979" priority="1570" operator="equal">
      <formula>"seeker"</formula>
    </cfRule>
    <cfRule type="cellIs" dxfId="978" priority="1571" operator="equal">
      <formula>"neutral"</formula>
    </cfRule>
    <cfRule type="cellIs" dxfId="977" priority="1572" operator="equal">
      <formula>"rogue"</formula>
    </cfRule>
    <cfRule type="cellIs" dxfId="976" priority="1573" operator="equal">
      <formula>"Guardian"</formula>
    </cfRule>
    <cfRule type="cellIs" dxfId="975" priority="1574" operator="equal">
      <formula>"Survivor"</formula>
    </cfRule>
    <cfRule type="cellIs" dxfId="974" priority="1575" operator="equal">
      <formula>"Mystic"</formula>
    </cfRule>
  </conditionalFormatting>
  <conditionalFormatting sqref="K1258">
    <cfRule type="cellIs" dxfId="973" priority="1564" operator="equal">
      <formula>"seeker"</formula>
    </cfRule>
    <cfRule type="cellIs" dxfId="972" priority="1565" operator="equal">
      <formula>"neutral"</formula>
    </cfRule>
    <cfRule type="cellIs" dxfId="971" priority="1566" operator="equal">
      <formula>"rogue"</formula>
    </cfRule>
    <cfRule type="cellIs" dxfId="970" priority="1567" operator="equal">
      <formula>"Guardian"</formula>
    </cfRule>
    <cfRule type="cellIs" dxfId="969" priority="1568" operator="equal">
      <formula>"Survivor"</formula>
    </cfRule>
    <cfRule type="cellIs" dxfId="968" priority="1569" operator="equal">
      <formula>"Mystic"</formula>
    </cfRule>
  </conditionalFormatting>
  <conditionalFormatting sqref="AM1264">
    <cfRule type="cellIs" dxfId="967" priority="1558" operator="equal">
      <formula>"seeker"</formula>
    </cfRule>
    <cfRule type="cellIs" dxfId="966" priority="1559" operator="equal">
      <formula>"neutral"</formula>
    </cfRule>
    <cfRule type="cellIs" dxfId="965" priority="1560" operator="equal">
      <formula>"rogue"</formula>
    </cfRule>
    <cfRule type="cellIs" dxfId="964" priority="1561" operator="equal">
      <formula>"Guardian"</formula>
    </cfRule>
    <cfRule type="cellIs" dxfId="963" priority="1562" operator="equal">
      <formula>"Survivor"</formula>
    </cfRule>
    <cfRule type="cellIs" dxfId="962" priority="1563" operator="equal">
      <formula>"Mystic"</formula>
    </cfRule>
  </conditionalFormatting>
  <conditionalFormatting sqref="K1274">
    <cfRule type="cellIs" dxfId="961" priority="1552" operator="equal">
      <formula>"seeker"</formula>
    </cfRule>
    <cfRule type="cellIs" dxfId="960" priority="1553" operator="equal">
      <formula>"neutral"</formula>
    </cfRule>
    <cfRule type="cellIs" dxfId="959" priority="1554" operator="equal">
      <formula>"rogue"</formula>
    </cfRule>
    <cfRule type="cellIs" dxfId="958" priority="1555" operator="equal">
      <formula>"Guardian"</formula>
    </cfRule>
    <cfRule type="cellIs" dxfId="957" priority="1556" operator="equal">
      <formula>"Survivor"</formula>
    </cfRule>
    <cfRule type="cellIs" dxfId="956" priority="1557" operator="equal">
      <formula>"Mystic"</formula>
    </cfRule>
  </conditionalFormatting>
  <conditionalFormatting sqref="AL1274">
    <cfRule type="cellIs" dxfId="955" priority="1546" operator="equal">
      <formula>"Seeker"</formula>
    </cfRule>
    <cfRule type="cellIs" dxfId="954" priority="1547" operator="equal">
      <formula>"Neutral"</formula>
    </cfRule>
    <cfRule type="cellIs" dxfId="953" priority="1548" operator="equal">
      <formula>"Rogue"</formula>
    </cfRule>
    <cfRule type="cellIs" dxfId="952" priority="1549" operator="equal">
      <formula>"Guardian"</formula>
    </cfRule>
    <cfRule type="cellIs" dxfId="951" priority="1550" operator="equal">
      <formula>"Survivor"</formula>
    </cfRule>
    <cfRule type="cellIs" dxfId="950" priority="1551" operator="equal">
      <formula>"Mystic"</formula>
    </cfRule>
  </conditionalFormatting>
  <conditionalFormatting sqref="AM1252">
    <cfRule type="cellIs" dxfId="949" priority="1540" operator="equal">
      <formula>"seeker"</formula>
    </cfRule>
    <cfRule type="cellIs" dxfId="948" priority="1541" operator="equal">
      <formula>"neutral"</formula>
    </cfRule>
    <cfRule type="cellIs" dxfId="947" priority="1542" operator="equal">
      <formula>"rogue"</formula>
    </cfRule>
    <cfRule type="cellIs" dxfId="946" priority="1543" operator="equal">
      <formula>"Guardian"</formula>
    </cfRule>
    <cfRule type="cellIs" dxfId="945" priority="1544" operator="equal">
      <formula>"Survivor"</formula>
    </cfRule>
    <cfRule type="cellIs" dxfId="944" priority="1545" operator="equal">
      <formula>"Mystic"</formula>
    </cfRule>
  </conditionalFormatting>
  <conditionalFormatting sqref="K1294:K1307 AM1307 AM1313:AM1314 K1311:K1314 AM1325:AM1331 K1319:K1331 AM1318:AM1323">
    <cfRule type="cellIs" dxfId="943" priority="1534" operator="equal">
      <formula>"seeker"</formula>
    </cfRule>
    <cfRule type="cellIs" dxfId="942" priority="1535" operator="equal">
      <formula>"neutral"</formula>
    </cfRule>
    <cfRule type="cellIs" dxfId="941" priority="1536" operator="equal">
      <formula>"rogue"</formula>
    </cfRule>
    <cfRule type="cellIs" dxfId="940" priority="1537" operator="equal">
      <formula>"Guardian"</formula>
    </cfRule>
    <cfRule type="cellIs" dxfId="939" priority="1538" operator="equal">
      <formula>"Survivor"</formula>
    </cfRule>
    <cfRule type="cellIs" dxfId="938" priority="1539" operator="equal">
      <formula>"Mystic"</formula>
    </cfRule>
  </conditionalFormatting>
  <conditionalFormatting sqref="AL1298:AL1304">
    <cfRule type="cellIs" dxfId="937" priority="1528" operator="equal">
      <formula>"Seeker"</formula>
    </cfRule>
    <cfRule type="cellIs" dxfId="936" priority="1529" operator="equal">
      <formula>"Neutral"</formula>
    </cfRule>
    <cfRule type="cellIs" dxfId="935" priority="1530" operator="equal">
      <formula>"Rogue"</formula>
    </cfRule>
    <cfRule type="cellIs" dxfId="934" priority="1531" operator="equal">
      <formula>"Guardian"</formula>
    </cfRule>
    <cfRule type="cellIs" dxfId="933" priority="1532" operator="equal">
      <formula>"Survivor"</formula>
    </cfRule>
    <cfRule type="cellIs" dxfId="932" priority="1533" operator="equal">
      <formula>"Mystic"</formula>
    </cfRule>
  </conditionalFormatting>
  <conditionalFormatting sqref="AM1317">
    <cfRule type="cellIs" dxfId="931" priority="1522" operator="equal">
      <formula>"seeker"</formula>
    </cfRule>
    <cfRule type="cellIs" dxfId="930" priority="1523" operator="equal">
      <formula>"neutral"</formula>
    </cfRule>
    <cfRule type="cellIs" dxfId="929" priority="1524" operator="equal">
      <formula>"rogue"</formula>
    </cfRule>
    <cfRule type="cellIs" dxfId="928" priority="1525" operator="equal">
      <formula>"Guardian"</formula>
    </cfRule>
    <cfRule type="cellIs" dxfId="927" priority="1526" operator="equal">
      <formula>"Survivor"</formula>
    </cfRule>
    <cfRule type="cellIs" dxfId="926" priority="1527" operator="equal">
      <formula>"Mystic"</formula>
    </cfRule>
  </conditionalFormatting>
  <conditionalFormatting sqref="K1293">
    <cfRule type="cellIs" dxfId="925" priority="1516" operator="equal">
      <formula>"Seeker"</formula>
    </cfRule>
    <cfRule type="cellIs" dxfId="924" priority="1517" operator="equal">
      <formula>"Neutral"</formula>
    </cfRule>
    <cfRule type="cellIs" dxfId="923" priority="1518" operator="equal">
      <formula>"Rogue"</formula>
    </cfRule>
    <cfRule type="cellIs" dxfId="922" priority="1519" operator="equal">
      <formula>"Guardian"</formula>
    </cfRule>
    <cfRule type="cellIs" dxfId="921" priority="1520" operator="equal">
      <formula>"Survivor"</formula>
    </cfRule>
    <cfRule type="cellIs" dxfId="920" priority="1521" operator="equal">
      <formula>"Mystic"</formula>
    </cfRule>
  </conditionalFormatting>
  <conditionalFormatting sqref="AM1294:AM1297">
    <cfRule type="cellIs" dxfId="919" priority="1510" operator="equal">
      <formula>"seeker"</formula>
    </cfRule>
    <cfRule type="cellIs" dxfId="918" priority="1511" operator="equal">
      <formula>"neutral"</formula>
    </cfRule>
    <cfRule type="cellIs" dxfId="917" priority="1512" operator="equal">
      <formula>"rogue"</formula>
    </cfRule>
    <cfRule type="cellIs" dxfId="916" priority="1513" operator="equal">
      <formula>"Guardian"</formula>
    </cfRule>
    <cfRule type="cellIs" dxfId="915" priority="1514" operator="equal">
      <formula>"Survivor"</formula>
    </cfRule>
    <cfRule type="cellIs" dxfId="914" priority="1515" operator="equal">
      <formula>"Mystic"</formula>
    </cfRule>
  </conditionalFormatting>
  <conditionalFormatting sqref="AM1293">
    <cfRule type="cellIs" dxfId="913" priority="1504" operator="equal">
      <formula>"Seeker"</formula>
    </cfRule>
    <cfRule type="cellIs" dxfId="912" priority="1505" operator="equal">
      <formula>"Neutral"</formula>
    </cfRule>
    <cfRule type="cellIs" dxfId="911" priority="1506" operator="equal">
      <formula>"Rogue"</formula>
    </cfRule>
    <cfRule type="cellIs" dxfId="910" priority="1507" operator="equal">
      <formula>"Guardian"</formula>
    </cfRule>
    <cfRule type="cellIs" dxfId="909" priority="1508" operator="equal">
      <formula>"Survivor"</formula>
    </cfRule>
    <cfRule type="cellIs" dxfId="908" priority="1509" operator="equal">
      <formula>"Mystic"</formula>
    </cfRule>
  </conditionalFormatting>
  <conditionalFormatting sqref="K1308">
    <cfRule type="cellIs" dxfId="907" priority="1498" operator="equal">
      <formula>"Seeker"</formula>
    </cfRule>
    <cfRule type="cellIs" dxfId="906" priority="1499" operator="equal">
      <formula>"Neutral"</formula>
    </cfRule>
    <cfRule type="cellIs" dxfId="905" priority="1500" operator="equal">
      <formula>"Rogue"</formula>
    </cfRule>
    <cfRule type="cellIs" dxfId="904" priority="1501" operator="equal">
      <formula>"Guardian"</formula>
    </cfRule>
    <cfRule type="cellIs" dxfId="903" priority="1502" operator="equal">
      <formula>"Survivor"</formula>
    </cfRule>
    <cfRule type="cellIs" dxfId="902" priority="1503" operator="equal">
      <formula>"Mystic"</formula>
    </cfRule>
  </conditionalFormatting>
  <conditionalFormatting sqref="AM1308">
    <cfRule type="cellIs" dxfId="901" priority="1492" operator="equal">
      <formula>"Seeker"</formula>
    </cfRule>
    <cfRule type="cellIs" dxfId="900" priority="1493" operator="equal">
      <formula>"Neutral"</formula>
    </cfRule>
    <cfRule type="cellIs" dxfId="899" priority="1494" operator="equal">
      <formula>"Rogue"</formula>
    </cfRule>
    <cfRule type="cellIs" dxfId="898" priority="1495" operator="equal">
      <formula>"Guardian"</formula>
    </cfRule>
    <cfRule type="cellIs" dxfId="897" priority="1496" operator="equal">
      <formula>"Survivor"</formula>
    </cfRule>
    <cfRule type="cellIs" dxfId="896" priority="1497" operator="equal">
      <formula>"Mystic"</formula>
    </cfRule>
  </conditionalFormatting>
  <conditionalFormatting sqref="K1309">
    <cfRule type="cellIs" dxfId="895" priority="1486" operator="equal">
      <formula>"Seeker"</formula>
    </cfRule>
    <cfRule type="cellIs" dxfId="894" priority="1487" operator="equal">
      <formula>"Neutral"</formula>
    </cfRule>
    <cfRule type="cellIs" dxfId="893" priority="1488" operator="equal">
      <formula>"Rogue"</formula>
    </cfRule>
    <cfRule type="cellIs" dxfId="892" priority="1489" operator="equal">
      <formula>"Guardian"</formula>
    </cfRule>
    <cfRule type="cellIs" dxfId="891" priority="1490" operator="equal">
      <formula>"Survivor"</formula>
    </cfRule>
    <cfRule type="cellIs" dxfId="890" priority="1491" operator="equal">
      <formula>"Mystic"</formula>
    </cfRule>
  </conditionalFormatting>
  <conditionalFormatting sqref="K1310">
    <cfRule type="cellIs" dxfId="889" priority="1480" operator="equal">
      <formula>"Seeker"</formula>
    </cfRule>
    <cfRule type="cellIs" dxfId="888" priority="1481" operator="equal">
      <formula>"Neutral"</formula>
    </cfRule>
    <cfRule type="cellIs" dxfId="887" priority="1482" operator="equal">
      <formula>"Rogue"</formula>
    </cfRule>
    <cfRule type="cellIs" dxfId="886" priority="1483" operator="equal">
      <formula>"Guardian"</formula>
    </cfRule>
    <cfRule type="cellIs" dxfId="885" priority="1484" operator="equal">
      <formula>"Survivor"</formula>
    </cfRule>
    <cfRule type="cellIs" dxfId="884" priority="1485" operator="equal">
      <formula>"Mystic"</formula>
    </cfRule>
  </conditionalFormatting>
  <conditionalFormatting sqref="K1315">
    <cfRule type="cellIs" dxfId="883" priority="1474" operator="equal">
      <formula>"seeker"</formula>
    </cfRule>
    <cfRule type="cellIs" dxfId="882" priority="1475" operator="equal">
      <formula>"neutral"</formula>
    </cfRule>
    <cfRule type="cellIs" dxfId="881" priority="1476" operator="equal">
      <formula>"rogue"</formula>
    </cfRule>
    <cfRule type="cellIs" dxfId="880" priority="1477" operator="equal">
      <formula>"Guardian"</formula>
    </cfRule>
    <cfRule type="cellIs" dxfId="879" priority="1478" operator="equal">
      <formula>"Survivor"</formula>
    </cfRule>
    <cfRule type="cellIs" dxfId="878" priority="1479" operator="equal">
      <formula>"Mystic"</formula>
    </cfRule>
  </conditionalFormatting>
  <conditionalFormatting sqref="AM1315">
    <cfRule type="cellIs" dxfId="877" priority="1468" operator="equal">
      <formula>"seeker"</formula>
    </cfRule>
    <cfRule type="cellIs" dxfId="876" priority="1469" operator="equal">
      <formula>"neutral"</formula>
    </cfRule>
    <cfRule type="cellIs" dxfId="875" priority="1470" operator="equal">
      <formula>"rogue"</formula>
    </cfRule>
    <cfRule type="cellIs" dxfId="874" priority="1471" operator="equal">
      <formula>"Guardian"</formula>
    </cfRule>
    <cfRule type="cellIs" dxfId="873" priority="1472" operator="equal">
      <formula>"Survivor"</formula>
    </cfRule>
    <cfRule type="cellIs" dxfId="872" priority="1473" operator="equal">
      <formula>"Mystic"</formula>
    </cfRule>
  </conditionalFormatting>
  <conditionalFormatting sqref="K1316">
    <cfRule type="cellIs" dxfId="871" priority="1462" operator="equal">
      <formula>"seeker"</formula>
    </cfRule>
    <cfRule type="cellIs" dxfId="870" priority="1463" operator="equal">
      <formula>"neutral"</formula>
    </cfRule>
    <cfRule type="cellIs" dxfId="869" priority="1464" operator="equal">
      <formula>"rogue"</formula>
    </cfRule>
    <cfRule type="cellIs" dxfId="868" priority="1465" operator="equal">
      <formula>"Guardian"</formula>
    </cfRule>
    <cfRule type="cellIs" dxfId="867" priority="1466" operator="equal">
      <formula>"Survivor"</formula>
    </cfRule>
    <cfRule type="cellIs" dxfId="866" priority="1467" operator="equal">
      <formula>"Mystic"</formula>
    </cfRule>
  </conditionalFormatting>
  <conditionalFormatting sqref="AM1316">
    <cfRule type="cellIs" dxfId="865" priority="1456" operator="equal">
      <formula>"seeker"</formula>
    </cfRule>
    <cfRule type="cellIs" dxfId="864" priority="1457" operator="equal">
      <formula>"neutral"</formula>
    </cfRule>
    <cfRule type="cellIs" dxfId="863" priority="1458" operator="equal">
      <formula>"rogue"</formula>
    </cfRule>
    <cfRule type="cellIs" dxfId="862" priority="1459" operator="equal">
      <formula>"Guardian"</formula>
    </cfRule>
    <cfRule type="cellIs" dxfId="861" priority="1460" operator="equal">
      <formula>"Survivor"</formula>
    </cfRule>
    <cfRule type="cellIs" dxfId="860" priority="1461" operator="equal">
      <formula>"Mystic"</formula>
    </cfRule>
  </conditionalFormatting>
  <conditionalFormatting sqref="K1317">
    <cfRule type="cellIs" dxfId="859" priority="1450" operator="equal">
      <formula>"seeker"</formula>
    </cfRule>
    <cfRule type="cellIs" dxfId="858" priority="1451" operator="equal">
      <formula>"neutral"</formula>
    </cfRule>
    <cfRule type="cellIs" dxfId="857" priority="1452" operator="equal">
      <formula>"rogue"</formula>
    </cfRule>
    <cfRule type="cellIs" dxfId="856" priority="1453" operator="equal">
      <formula>"Guardian"</formula>
    </cfRule>
    <cfRule type="cellIs" dxfId="855" priority="1454" operator="equal">
      <formula>"Survivor"</formula>
    </cfRule>
    <cfRule type="cellIs" dxfId="854" priority="1455" operator="equal">
      <formula>"Mystic"</formula>
    </cfRule>
  </conditionalFormatting>
  <conditionalFormatting sqref="K1318">
    <cfRule type="cellIs" dxfId="853" priority="1444" operator="equal">
      <formula>"seeker"</formula>
    </cfRule>
    <cfRule type="cellIs" dxfId="852" priority="1445" operator="equal">
      <formula>"neutral"</formula>
    </cfRule>
    <cfRule type="cellIs" dxfId="851" priority="1446" operator="equal">
      <formula>"rogue"</formula>
    </cfRule>
    <cfRule type="cellIs" dxfId="850" priority="1447" operator="equal">
      <formula>"Guardian"</formula>
    </cfRule>
    <cfRule type="cellIs" dxfId="849" priority="1448" operator="equal">
      <formula>"Survivor"</formula>
    </cfRule>
    <cfRule type="cellIs" dxfId="848" priority="1449" operator="equal">
      <formula>"Mystic"</formula>
    </cfRule>
  </conditionalFormatting>
  <conditionalFormatting sqref="AM1324">
    <cfRule type="cellIs" dxfId="847" priority="1438" operator="equal">
      <formula>"seeker"</formula>
    </cfRule>
    <cfRule type="cellIs" dxfId="846" priority="1439" operator="equal">
      <formula>"neutral"</formula>
    </cfRule>
    <cfRule type="cellIs" dxfId="845" priority="1440" operator="equal">
      <formula>"rogue"</formula>
    </cfRule>
    <cfRule type="cellIs" dxfId="844" priority="1441" operator="equal">
      <formula>"Guardian"</formula>
    </cfRule>
    <cfRule type="cellIs" dxfId="843" priority="1442" operator="equal">
      <formula>"Survivor"</formula>
    </cfRule>
    <cfRule type="cellIs" dxfId="842" priority="1443" operator="equal">
      <formula>"Mystic"</formula>
    </cfRule>
  </conditionalFormatting>
  <conditionalFormatting sqref="AM1312">
    <cfRule type="cellIs" dxfId="841" priority="1432" operator="equal">
      <formula>"seeker"</formula>
    </cfRule>
    <cfRule type="cellIs" dxfId="840" priority="1433" operator="equal">
      <formula>"neutral"</formula>
    </cfRule>
    <cfRule type="cellIs" dxfId="839" priority="1434" operator="equal">
      <formula>"rogue"</formula>
    </cfRule>
    <cfRule type="cellIs" dxfId="838" priority="1435" operator="equal">
      <formula>"Guardian"</formula>
    </cfRule>
    <cfRule type="cellIs" dxfId="837" priority="1436" operator="equal">
      <formula>"Survivor"</formula>
    </cfRule>
    <cfRule type="cellIs" dxfId="836" priority="1437" operator="equal">
      <formula>"Mystic"</formula>
    </cfRule>
  </conditionalFormatting>
  <conditionalFormatting sqref="AM1374:AM1421 K1374:K1421 AM1432:AM1436 K1333:K1346 AM1346 AM1352:AM1353 K1350:K1353 AM1364:AM1372 K1358:K1372 AM1357:AM1362">
    <cfRule type="cellIs" dxfId="835" priority="1228" operator="equal">
      <formula>"seeker"</formula>
    </cfRule>
    <cfRule type="cellIs" dxfId="834" priority="1229" operator="equal">
      <formula>"neutral"</formula>
    </cfRule>
    <cfRule type="cellIs" dxfId="833" priority="1230" operator="equal">
      <formula>"rogue"</formula>
    </cfRule>
    <cfRule type="cellIs" dxfId="832" priority="1231" operator="equal">
      <formula>"Guardian"</formula>
    </cfRule>
    <cfRule type="cellIs" dxfId="831" priority="1232" operator="equal">
      <formula>"Survivor"</formula>
    </cfRule>
    <cfRule type="cellIs" dxfId="830" priority="1233" operator="equal">
      <formula>"Mystic"</formula>
    </cfRule>
  </conditionalFormatting>
  <conditionalFormatting sqref="AL1337:AL1343">
    <cfRule type="cellIs" dxfId="829" priority="1222" operator="equal">
      <formula>"Seeker"</formula>
    </cfRule>
    <cfRule type="cellIs" dxfId="828" priority="1223" operator="equal">
      <formula>"Neutral"</formula>
    </cfRule>
    <cfRule type="cellIs" dxfId="827" priority="1224" operator="equal">
      <formula>"Rogue"</formula>
    </cfRule>
    <cfRule type="cellIs" dxfId="826" priority="1225" operator="equal">
      <formula>"Guardian"</formula>
    </cfRule>
    <cfRule type="cellIs" dxfId="825" priority="1226" operator="equal">
      <formula>"Survivor"</formula>
    </cfRule>
    <cfRule type="cellIs" dxfId="824" priority="1227" operator="equal">
      <formula>"Mystic"</formula>
    </cfRule>
  </conditionalFormatting>
  <conditionalFormatting sqref="AM1356">
    <cfRule type="cellIs" dxfId="823" priority="1216" operator="equal">
      <formula>"seeker"</formula>
    </cfRule>
    <cfRule type="cellIs" dxfId="822" priority="1217" operator="equal">
      <formula>"neutral"</formula>
    </cfRule>
    <cfRule type="cellIs" dxfId="821" priority="1218" operator="equal">
      <formula>"rogue"</formula>
    </cfRule>
    <cfRule type="cellIs" dxfId="820" priority="1219" operator="equal">
      <formula>"Guardian"</formula>
    </cfRule>
    <cfRule type="cellIs" dxfId="819" priority="1220" operator="equal">
      <formula>"Survivor"</formula>
    </cfRule>
    <cfRule type="cellIs" dxfId="818" priority="1221" operator="equal">
      <formula>"Mystic"</formula>
    </cfRule>
  </conditionalFormatting>
  <conditionalFormatting sqref="K1332">
    <cfRule type="cellIs" dxfId="817" priority="1210" operator="equal">
      <formula>"Seeker"</formula>
    </cfRule>
    <cfRule type="cellIs" dxfId="816" priority="1211" operator="equal">
      <formula>"Neutral"</formula>
    </cfRule>
    <cfRule type="cellIs" dxfId="815" priority="1212" operator="equal">
      <formula>"Rogue"</formula>
    </cfRule>
    <cfRule type="cellIs" dxfId="814" priority="1213" operator="equal">
      <formula>"Guardian"</formula>
    </cfRule>
    <cfRule type="cellIs" dxfId="813" priority="1214" operator="equal">
      <formula>"Survivor"</formula>
    </cfRule>
    <cfRule type="cellIs" dxfId="812" priority="1215" operator="equal">
      <formula>"Mystic"</formula>
    </cfRule>
  </conditionalFormatting>
  <conditionalFormatting sqref="AM1333:AM1336">
    <cfRule type="cellIs" dxfId="811" priority="1204" operator="equal">
      <formula>"seeker"</formula>
    </cfRule>
    <cfRule type="cellIs" dxfId="810" priority="1205" operator="equal">
      <formula>"neutral"</formula>
    </cfRule>
    <cfRule type="cellIs" dxfId="809" priority="1206" operator="equal">
      <formula>"rogue"</formula>
    </cfRule>
    <cfRule type="cellIs" dxfId="808" priority="1207" operator="equal">
      <formula>"Guardian"</formula>
    </cfRule>
    <cfRule type="cellIs" dxfId="807" priority="1208" operator="equal">
      <formula>"Survivor"</formula>
    </cfRule>
    <cfRule type="cellIs" dxfId="806" priority="1209" operator="equal">
      <formula>"Mystic"</formula>
    </cfRule>
  </conditionalFormatting>
  <conditionalFormatting sqref="AM1332">
    <cfRule type="cellIs" dxfId="805" priority="1198" operator="equal">
      <formula>"Seeker"</formula>
    </cfRule>
    <cfRule type="cellIs" dxfId="804" priority="1199" operator="equal">
      <formula>"Neutral"</formula>
    </cfRule>
    <cfRule type="cellIs" dxfId="803" priority="1200" operator="equal">
      <formula>"Rogue"</formula>
    </cfRule>
    <cfRule type="cellIs" dxfId="802" priority="1201" operator="equal">
      <formula>"Guardian"</formula>
    </cfRule>
    <cfRule type="cellIs" dxfId="801" priority="1202" operator="equal">
      <formula>"Survivor"</formula>
    </cfRule>
    <cfRule type="cellIs" dxfId="800" priority="1203" operator="equal">
      <formula>"Mystic"</formula>
    </cfRule>
  </conditionalFormatting>
  <conditionalFormatting sqref="K1347">
    <cfRule type="cellIs" dxfId="799" priority="1192" operator="equal">
      <formula>"Seeker"</formula>
    </cfRule>
    <cfRule type="cellIs" dxfId="798" priority="1193" operator="equal">
      <formula>"Neutral"</formula>
    </cfRule>
    <cfRule type="cellIs" dxfId="797" priority="1194" operator="equal">
      <formula>"Rogue"</formula>
    </cfRule>
    <cfRule type="cellIs" dxfId="796" priority="1195" operator="equal">
      <formula>"Guardian"</formula>
    </cfRule>
    <cfRule type="cellIs" dxfId="795" priority="1196" operator="equal">
      <formula>"Survivor"</formula>
    </cfRule>
    <cfRule type="cellIs" dxfId="794" priority="1197" operator="equal">
      <formula>"Mystic"</formula>
    </cfRule>
  </conditionalFormatting>
  <conditionalFormatting sqref="AM1347">
    <cfRule type="cellIs" dxfId="793" priority="1186" operator="equal">
      <formula>"Seeker"</formula>
    </cfRule>
    <cfRule type="cellIs" dxfId="792" priority="1187" operator="equal">
      <formula>"Neutral"</formula>
    </cfRule>
    <cfRule type="cellIs" dxfId="791" priority="1188" operator="equal">
      <formula>"Rogue"</formula>
    </cfRule>
    <cfRule type="cellIs" dxfId="790" priority="1189" operator="equal">
      <formula>"Guardian"</formula>
    </cfRule>
    <cfRule type="cellIs" dxfId="789" priority="1190" operator="equal">
      <formula>"Survivor"</formula>
    </cfRule>
    <cfRule type="cellIs" dxfId="788" priority="1191" operator="equal">
      <formula>"Mystic"</formula>
    </cfRule>
  </conditionalFormatting>
  <conditionalFormatting sqref="K1348">
    <cfRule type="cellIs" dxfId="787" priority="1180" operator="equal">
      <formula>"Seeker"</formula>
    </cfRule>
    <cfRule type="cellIs" dxfId="786" priority="1181" operator="equal">
      <formula>"Neutral"</formula>
    </cfRule>
    <cfRule type="cellIs" dxfId="785" priority="1182" operator="equal">
      <formula>"Rogue"</formula>
    </cfRule>
    <cfRule type="cellIs" dxfId="784" priority="1183" operator="equal">
      <formula>"Guardian"</formula>
    </cfRule>
    <cfRule type="cellIs" dxfId="783" priority="1184" operator="equal">
      <formula>"Survivor"</formula>
    </cfRule>
    <cfRule type="cellIs" dxfId="782" priority="1185" operator="equal">
      <formula>"Mystic"</formula>
    </cfRule>
  </conditionalFormatting>
  <conditionalFormatting sqref="K1349">
    <cfRule type="cellIs" dxfId="781" priority="1174" operator="equal">
      <formula>"Seeker"</formula>
    </cfRule>
    <cfRule type="cellIs" dxfId="780" priority="1175" operator="equal">
      <formula>"Neutral"</formula>
    </cfRule>
    <cfRule type="cellIs" dxfId="779" priority="1176" operator="equal">
      <formula>"Rogue"</formula>
    </cfRule>
    <cfRule type="cellIs" dxfId="778" priority="1177" operator="equal">
      <formula>"Guardian"</formula>
    </cfRule>
    <cfRule type="cellIs" dxfId="777" priority="1178" operator="equal">
      <formula>"Survivor"</formula>
    </cfRule>
    <cfRule type="cellIs" dxfId="776" priority="1179" operator="equal">
      <formula>"Mystic"</formula>
    </cfRule>
  </conditionalFormatting>
  <conditionalFormatting sqref="K1354">
    <cfRule type="cellIs" dxfId="775" priority="1168" operator="equal">
      <formula>"seeker"</formula>
    </cfRule>
    <cfRule type="cellIs" dxfId="774" priority="1169" operator="equal">
      <formula>"neutral"</formula>
    </cfRule>
    <cfRule type="cellIs" dxfId="773" priority="1170" operator="equal">
      <formula>"rogue"</formula>
    </cfRule>
    <cfRule type="cellIs" dxfId="772" priority="1171" operator="equal">
      <formula>"Guardian"</formula>
    </cfRule>
    <cfRule type="cellIs" dxfId="771" priority="1172" operator="equal">
      <formula>"Survivor"</formula>
    </cfRule>
    <cfRule type="cellIs" dxfId="770" priority="1173" operator="equal">
      <formula>"Mystic"</formula>
    </cfRule>
  </conditionalFormatting>
  <conditionalFormatting sqref="AM1354">
    <cfRule type="cellIs" dxfId="769" priority="1162" operator="equal">
      <formula>"seeker"</formula>
    </cfRule>
    <cfRule type="cellIs" dxfId="768" priority="1163" operator="equal">
      <formula>"neutral"</formula>
    </cfRule>
    <cfRule type="cellIs" dxfId="767" priority="1164" operator="equal">
      <formula>"rogue"</formula>
    </cfRule>
    <cfRule type="cellIs" dxfId="766" priority="1165" operator="equal">
      <formula>"Guardian"</formula>
    </cfRule>
    <cfRule type="cellIs" dxfId="765" priority="1166" operator="equal">
      <formula>"Survivor"</formula>
    </cfRule>
    <cfRule type="cellIs" dxfId="764" priority="1167" operator="equal">
      <formula>"Mystic"</formula>
    </cfRule>
  </conditionalFormatting>
  <conditionalFormatting sqref="K1355">
    <cfRule type="cellIs" dxfId="763" priority="1156" operator="equal">
      <formula>"seeker"</formula>
    </cfRule>
    <cfRule type="cellIs" dxfId="762" priority="1157" operator="equal">
      <formula>"neutral"</formula>
    </cfRule>
    <cfRule type="cellIs" dxfId="761" priority="1158" operator="equal">
      <formula>"rogue"</formula>
    </cfRule>
    <cfRule type="cellIs" dxfId="760" priority="1159" operator="equal">
      <formula>"Guardian"</formula>
    </cfRule>
    <cfRule type="cellIs" dxfId="759" priority="1160" operator="equal">
      <formula>"Survivor"</formula>
    </cfRule>
    <cfRule type="cellIs" dxfId="758" priority="1161" operator="equal">
      <formula>"Mystic"</formula>
    </cfRule>
  </conditionalFormatting>
  <conditionalFormatting sqref="AM1355">
    <cfRule type="cellIs" dxfId="757" priority="1150" operator="equal">
      <formula>"seeker"</formula>
    </cfRule>
    <cfRule type="cellIs" dxfId="756" priority="1151" operator="equal">
      <formula>"neutral"</formula>
    </cfRule>
    <cfRule type="cellIs" dxfId="755" priority="1152" operator="equal">
      <formula>"rogue"</formula>
    </cfRule>
    <cfRule type="cellIs" dxfId="754" priority="1153" operator="equal">
      <formula>"Guardian"</formula>
    </cfRule>
    <cfRule type="cellIs" dxfId="753" priority="1154" operator="equal">
      <formula>"Survivor"</formula>
    </cfRule>
    <cfRule type="cellIs" dxfId="752" priority="1155" operator="equal">
      <formula>"Mystic"</formula>
    </cfRule>
  </conditionalFormatting>
  <conditionalFormatting sqref="K1356">
    <cfRule type="cellIs" dxfId="751" priority="1144" operator="equal">
      <formula>"seeker"</formula>
    </cfRule>
    <cfRule type="cellIs" dxfId="750" priority="1145" operator="equal">
      <formula>"neutral"</formula>
    </cfRule>
    <cfRule type="cellIs" dxfId="749" priority="1146" operator="equal">
      <formula>"rogue"</formula>
    </cfRule>
    <cfRule type="cellIs" dxfId="748" priority="1147" operator="equal">
      <formula>"Guardian"</formula>
    </cfRule>
    <cfRule type="cellIs" dxfId="747" priority="1148" operator="equal">
      <formula>"Survivor"</formula>
    </cfRule>
    <cfRule type="cellIs" dxfId="746" priority="1149" operator="equal">
      <formula>"Mystic"</formula>
    </cfRule>
  </conditionalFormatting>
  <conditionalFormatting sqref="K1357">
    <cfRule type="cellIs" dxfId="745" priority="1138" operator="equal">
      <formula>"seeker"</formula>
    </cfRule>
    <cfRule type="cellIs" dxfId="744" priority="1139" operator="equal">
      <formula>"neutral"</formula>
    </cfRule>
    <cfRule type="cellIs" dxfId="743" priority="1140" operator="equal">
      <formula>"rogue"</formula>
    </cfRule>
    <cfRule type="cellIs" dxfId="742" priority="1141" operator="equal">
      <formula>"Guardian"</formula>
    </cfRule>
    <cfRule type="cellIs" dxfId="741" priority="1142" operator="equal">
      <formula>"Survivor"</formula>
    </cfRule>
    <cfRule type="cellIs" dxfId="740" priority="1143" operator="equal">
      <formula>"Mystic"</formula>
    </cfRule>
  </conditionalFormatting>
  <conditionalFormatting sqref="AM1363">
    <cfRule type="cellIs" dxfId="739" priority="1132" operator="equal">
      <formula>"seeker"</formula>
    </cfRule>
    <cfRule type="cellIs" dxfId="738" priority="1133" operator="equal">
      <formula>"neutral"</formula>
    </cfRule>
    <cfRule type="cellIs" dxfId="737" priority="1134" operator="equal">
      <formula>"rogue"</formula>
    </cfRule>
    <cfRule type="cellIs" dxfId="736" priority="1135" operator="equal">
      <formula>"Guardian"</formula>
    </cfRule>
    <cfRule type="cellIs" dxfId="735" priority="1136" operator="equal">
      <formula>"Survivor"</formula>
    </cfRule>
    <cfRule type="cellIs" dxfId="734" priority="1137" operator="equal">
      <formula>"Mystic"</formula>
    </cfRule>
  </conditionalFormatting>
  <conditionalFormatting sqref="K1373">
    <cfRule type="cellIs" dxfId="733" priority="1126" operator="equal">
      <formula>"seeker"</formula>
    </cfRule>
    <cfRule type="cellIs" dxfId="732" priority="1127" operator="equal">
      <formula>"neutral"</formula>
    </cfRule>
    <cfRule type="cellIs" dxfId="731" priority="1128" operator="equal">
      <formula>"rogue"</formula>
    </cfRule>
    <cfRule type="cellIs" dxfId="730" priority="1129" operator="equal">
      <formula>"Guardian"</formula>
    </cfRule>
    <cfRule type="cellIs" dxfId="729" priority="1130" operator="equal">
      <formula>"Survivor"</formula>
    </cfRule>
    <cfRule type="cellIs" dxfId="728" priority="1131" operator="equal">
      <formula>"Mystic"</formula>
    </cfRule>
  </conditionalFormatting>
  <conditionalFormatting sqref="AL1373">
    <cfRule type="cellIs" dxfId="727" priority="1120" operator="equal">
      <formula>"Seeker"</formula>
    </cfRule>
    <cfRule type="cellIs" dxfId="726" priority="1121" operator="equal">
      <formula>"Neutral"</formula>
    </cfRule>
    <cfRule type="cellIs" dxfId="725" priority="1122" operator="equal">
      <formula>"Rogue"</formula>
    </cfRule>
    <cfRule type="cellIs" dxfId="724" priority="1123" operator="equal">
      <formula>"Guardian"</formula>
    </cfRule>
    <cfRule type="cellIs" dxfId="723" priority="1124" operator="equal">
      <formula>"Survivor"</formula>
    </cfRule>
    <cfRule type="cellIs" dxfId="722" priority="1125" operator="equal">
      <formula>"Mystic"</formula>
    </cfRule>
  </conditionalFormatting>
  <conditionalFormatting sqref="AM1428:AM1431">
    <cfRule type="cellIs" dxfId="721" priority="1114" operator="equal">
      <formula>"seeker"</formula>
    </cfRule>
    <cfRule type="cellIs" dxfId="720" priority="1115" operator="equal">
      <formula>"neutral"</formula>
    </cfRule>
    <cfRule type="cellIs" dxfId="719" priority="1116" operator="equal">
      <formula>"rogue"</formula>
    </cfRule>
    <cfRule type="cellIs" dxfId="718" priority="1117" operator="equal">
      <formula>"Guardian"</formula>
    </cfRule>
    <cfRule type="cellIs" dxfId="717" priority="1118" operator="equal">
      <formula>"Survivor"</formula>
    </cfRule>
    <cfRule type="cellIs" dxfId="716" priority="1119" operator="equal">
      <formula>"Mystic"</formula>
    </cfRule>
  </conditionalFormatting>
  <conditionalFormatting sqref="AM1427">
    <cfRule type="cellIs" dxfId="715" priority="1108" operator="equal">
      <formula>"Seeker"</formula>
    </cfRule>
    <cfRule type="cellIs" dxfId="714" priority="1109" operator="equal">
      <formula>"Neutral"</formula>
    </cfRule>
    <cfRule type="cellIs" dxfId="713" priority="1110" operator="equal">
      <formula>"Rogue"</formula>
    </cfRule>
    <cfRule type="cellIs" dxfId="712" priority="1111" operator="equal">
      <formula>"Guardian"</formula>
    </cfRule>
    <cfRule type="cellIs" dxfId="711" priority="1112" operator="equal">
      <formula>"Survivor"</formula>
    </cfRule>
    <cfRule type="cellIs" dxfId="710" priority="1113" operator="equal">
      <formula>"Mystic"</formula>
    </cfRule>
  </conditionalFormatting>
  <conditionalFormatting sqref="K1428:K1431">
    <cfRule type="cellIs" dxfId="709" priority="1102" operator="equal">
      <formula>"seeker"</formula>
    </cfRule>
    <cfRule type="cellIs" dxfId="708" priority="1103" operator="equal">
      <formula>"neutral"</formula>
    </cfRule>
    <cfRule type="cellIs" dxfId="707" priority="1104" operator="equal">
      <formula>"rogue"</formula>
    </cfRule>
    <cfRule type="cellIs" dxfId="706" priority="1105" operator="equal">
      <formula>"Guardian"</formula>
    </cfRule>
    <cfRule type="cellIs" dxfId="705" priority="1106" operator="equal">
      <formula>"Survivor"</formula>
    </cfRule>
    <cfRule type="cellIs" dxfId="704" priority="1107" operator="equal">
      <formula>"Mystic"</formula>
    </cfRule>
  </conditionalFormatting>
  <conditionalFormatting sqref="K1427">
    <cfRule type="cellIs" dxfId="703" priority="1096" operator="equal">
      <formula>"Seeker"</formula>
    </cfRule>
    <cfRule type="cellIs" dxfId="702" priority="1097" operator="equal">
      <formula>"Neutral"</formula>
    </cfRule>
    <cfRule type="cellIs" dxfId="701" priority="1098" operator="equal">
      <formula>"Rogue"</formula>
    </cfRule>
    <cfRule type="cellIs" dxfId="700" priority="1099" operator="equal">
      <formula>"Guardian"</formula>
    </cfRule>
    <cfRule type="cellIs" dxfId="699" priority="1100" operator="equal">
      <formula>"Survivor"</formula>
    </cfRule>
    <cfRule type="cellIs" dxfId="698" priority="1101" operator="equal">
      <formula>"Mystic"</formula>
    </cfRule>
  </conditionalFormatting>
  <conditionalFormatting sqref="K1432">
    <cfRule type="cellIs" dxfId="697" priority="1090" operator="equal">
      <formula>"Seeker"</formula>
    </cfRule>
    <cfRule type="cellIs" dxfId="696" priority="1091" operator="equal">
      <formula>"Neutral"</formula>
    </cfRule>
    <cfRule type="cellIs" dxfId="695" priority="1092" operator="equal">
      <formula>"Rogue"</formula>
    </cfRule>
    <cfRule type="cellIs" dxfId="694" priority="1093" operator="equal">
      <formula>"Guardian"</formula>
    </cfRule>
    <cfRule type="cellIs" dxfId="693" priority="1094" operator="equal">
      <formula>"Survivor"</formula>
    </cfRule>
    <cfRule type="cellIs" dxfId="692" priority="1095" operator="equal">
      <formula>"Mystic"</formula>
    </cfRule>
  </conditionalFormatting>
  <conditionalFormatting sqref="K1433">
    <cfRule type="cellIs" dxfId="691" priority="1084" operator="equal">
      <formula>"Seeker"</formula>
    </cfRule>
    <cfRule type="cellIs" dxfId="690" priority="1085" operator="equal">
      <formula>"Neutral"</formula>
    </cfRule>
    <cfRule type="cellIs" dxfId="689" priority="1086" operator="equal">
      <formula>"Rogue"</formula>
    </cfRule>
    <cfRule type="cellIs" dxfId="688" priority="1087" operator="equal">
      <formula>"Guardian"</formula>
    </cfRule>
    <cfRule type="cellIs" dxfId="687" priority="1088" operator="equal">
      <formula>"Survivor"</formula>
    </cfRule>
    <cfRule type="cellIs" dxfId="686" priority="1089" operator="equal">
      <formula>"Mystic"</formula>
    </cfRule>
  </conditionalFormatting>
  <conditionalFormatting sqref="K1434">
    <cfRule type="cellIs" dxfId="685" priority="1078" operator="equal">
      <formula>"seeker"</formula>
    </cfRule>
    <cfRule type="cellIs" dxfId="684" priority="1079" operator="equal">
      <formula>"neutral"</formula>
    </cfRule>
    <cfRule type="cellIs" dxfId="683" priority="1080" operator="equal">
      <formula>"rogue"</formula>
    </cfRule>
    <cfRule type="cellIs" dxfId="682" priority="1081" operator="equal">
      <formula>"Guardian"</formula>
    </cfRule>
    <cfRule type="cellIs" dxfId="681" priority="1082" operator="equal">
      <formula>"Survivor"</formula>
    </cfRule>
    <cfRule type="cellIs" dxfId="680" priority="1083" operator="equal">
      <formula>"Mystic"</formula>
    </cfRule>
  </conditionalFormatting>
  <conditionalFormatting sqref="K1435">
    <cfRule type="cellIs" dxfId="679" priority="1072" operator="equal">
      <formula>"seeker"</formula>
    </cfRule>
    <cfRule type="cellIs" dxfId="678" priority="1073" operator="equal">
      <formula>"neutral"</formula>
    </cfRule>
    <cfRule type="cellIs" dxfId="677" priority="1074" operator="equal">
      <formula>"rogue"</formula>
    </cfRule>
    <cfRule type="cellIs" dxfId="676" priority="1075" operator="equal">
      <formula>"Guardian"</formula>
    </cfRule>
    <cfRule type="cellIs" dxfId="675" priority="1076" operator="equal">
      <formula>"Survivor"</formula>
    </cfRule>
    <cfRule type="cellIs" dxfId="674" priority="1077" operator="equal">
      <formula>"Mystic"</formula>
    </cfRule>
  </conditionalFormatting>
  <conditionalFormatting sqref="K1436">
    <cfRule type="cellIs" dxfId="673" priority="1066" operator="equal">
      <formula>"seeker"</formula>
    </cfRule>
    <cfRule type="cellIs" dxfId="672" priority="1067" operator="equal">
      <formula>"neutral"</formula>
    </cfRule>
    <cfRule type="cellIs" dxfId="671" priority="1068" operator="equal">
      <formula>"rogue"</formula>
    </cfRule>
    <cfRule type="cellIs" dxfId="670" priority="1069" operator="equal">
      <formula>"Guardian"</formula>
    </cfRule>
    <cfRule type="cellIs" dxfId="669" priority="1070" operator="equal">
      <formula>"Survivor"</formula>
    </cfRule>
    <cfRule type="cellIs" dxfId="668" priority="1071" operator="equal">
      <formula>"Mystic"</formula>
    </cfRule>
  </conditionalFormatting>
  <conditionalFormatting sqref="AM1423:AM1426">
    <cfRule type="cellIs" dxfId="667" priority="1060" operator="equal">
      <formula>"seeker"</formula>
    </cfRule>
    <cfRule type="cellIs" dxfId="666" priority="1061" operator="equal">
      <formula>"neutral"</formula>
    </cfRule>
    <cfRule type="cellIs" dxfId="665" priority="1062" operator="equal">
      <formula>"rogue"</formula>
    </cfRule>
    <cfRule type="cellIs" dxfId="664" priority="1063" operator="equal">
      <formula>"Guardian"</formula>
    </cfRule>
    <cfRule type="cellIs" dxfId="663" priority="1064" operator="equal">
      <formula>"Survivor"</formula>
    </cfRule>
    <cfRule type="cellIs" dxfId="662" priority="1065" operator="equal">
      <formula>"Mystic"</formula>
    </cfRule>
  </conditionalFormatting>
  <conditionalFormatting sqref="AM1422">
    <cfRule type="cellIs" dxfId="661" priority="1054" operator="equal">
      <formula>"Seeker"</formula>
    </cfRule>
    <cfRule type="cellIs" dxfId="660" priority="1055" operator="equal">
      <formula>"Neutral"</formula>
    </cfRule>
    <cfRule type="cellIs" dxfId="659" priority="1056" operator="equal">
      <formula>"Rogue"</formula>
    </cfRule>
    <cfRule type="cellIs" dxfId="658" priority="1057" operator="equal">
      <formula>"Guardian"</formula>
    </cfRule>
    <cfRule type="cellIs" dxfId="657" priority="1058" operator="equal">
      <formula>"Survivor"</formula>
    </cfRule>
    <cfRule type="cellIs" dxfId="656" priority="1059" operator="equal">
      <formula>"Mystic"</formula>
    </cfRule>
  </conditionalFormatting>
  <conditionalFormatting sqref="K1423:K1426">
    <cfRule type="cellIs" dxfId="655" priority="1048" operator="equal">
      <formula>"seeker"</formula>
    </cfRule>
    <cfRule type="cellIs" dxfId="654" priority="1049" operator="equal">
      <formula>"neutral"</formula>
    </cfRule>
    <cfRule type="cellIs" dxfId="653" priority="1050" operator="equal">
      <formula>"rogue"</formula>
    </cfRule>
    <cfRule type="cellIs" dxfId="652" priority="1051" operator="equal">
      <formula>"Guardian"</formula>
    </cfRule>
    <cfRule type="cellIs" dxfId="651" priority="1052" operator="equal">
      <formula>"Survivor"</formula>
    </cfRule>
    <cfRule type="cellIs" dxfId="650" priority="1053" operator="equal">
      <formula>"Mystic"</formula>
    </cfRule>
  </conditionalFormatting>
  <conditionalFormatting sqref="K1422">
    <cfRule type="cellIs" dxfId="649" priority="1042" operator="equal">
      <formula>"Seeker"</formula>
    </cfRule>
    <cfRule type="cellIs" dxfId="648" priority="1043" operator="equal">
      <formula>"Neutral"</formula>
    </cfRule>
    <cfRule type="cellIs" dxfId="647" priority="1044" operator="equal">
      <formula>"Rogue"</formula>
    </cfRule>
    <cfRule type="cellIs" dxfId="646" priority="1045" operator="equal">
      <formula>"Guardian"</formula>
    </cfRule>
    <cfRule type="cellIs" dxfId="645" priority="1046" operator="equal">
      <formula>"Survivor"</formula>
    </cfRule>
    <cfRule type="cellIs" dxfId="644" priority="1047" operator="equal">
      <formula>"Mystic"</formula>
    </cfRule>
  </conditionalFormatting>
  <conditionalFormatting sqref="AM1351">
    <cfRule type="cellIs" dxfId="643" priority="1036" operator="equal">
      <formula>"seeker"</formula>
    </cfRule>
    <cfRule type="cellIs" dxfId="642" priority="1037" operator="equal">
      <formula>"neutral"</formula>
    </cfRule>
    <cfRule type="cellIs" dxfId="641" priority="1038" operator="equal">
      <formula>"rogue"</formula>
    </cfRule>
    <cfRule type="cellIs" dxfId="640" priority="1039" operator="equal">
      <formula>"Guardian"</formula>
    </cfRule>
    <cfRule type="cellIs" dxfId="639" priority="1040" operator="equal">
      <formula>"Survivor"</formula>
    </cfRule>
    <cfRule type="cellIs" dxfId="638" priority="1041" operator="equal">
      <formula>"Mystic"</formula>
    </cfRule>
  </conditionalFormatting>
  <conditionalFormatting sqref="K1438:K1447">
    <cfRule type="cellIs" dxfId="637" priority="1030" operator="equal">
      <formula>"seeker"</formula>
    </cfRule>
    <cfRule type="cellIs" dxfId="636" priority="1031" operator="equal">
      <formula>"neutral"</formula>
    </cfRule>
    <cfRule type="cellIs" dxfId="635" priority="1032" operator="equal">
      <formula>"rogue"</formula>
    </cfRule>
    <cfRule type="cellIs" dxfId="634" priority="1033" operator="equal">
      <formula>"Guardian"</formula>
    </cfRule>
    <cfRule type="cellIs" dxfId="633" priority="1034" operator="equal">
      <formula>"Survivor"</formula>
    </cfRule>
    <cfRule type="cellIs" dxfId="632" priority="1035" operator="equal">
      <formula>"Mystic"</formula>
    </cfRule>
  </conditionalFormatting>
  <conditionalFormatting sqref="AL1442:AL1447">
    <cfRule type="cellIs" dxfId="631" priority="1024" operator="equal">
      <formula>"Seeker"</formula>
    </cfRule>
    <cfRule type="cellIs" dxfId="630" priority="1025" operator="equal">
      <formula>"Neutral"</formula>
    </cfRule>
    <cfRule type="cellIs" dxfId="629" priority="1026" operator="equal">
      <formula>"Rogue"</formula>
    </cfRule>
    <cfRule type="cellIs" dxfId="628" priority="1027" operator="equal">
      <formula>"Guardian"</formula>
    </cfRule>
    <cfRule type="cellIs" dxfId="627" priority="1028" operator="equal">
      <formula>"Survivor"</formula>
    </cfRule>
    <cfRule type="cellIs" dxfId="626" priority="1029" operator="equal">
      <formula>"Mystic"</formula>
    </cfRule>
  </conditionalFormatting>
  <conditionalFormatting sqref="K1437">
    <cfRule type="cellIs" dxfId="625" priority="1018" operator="equal">
      <formula>"Seeker"</formula>
    </cfRule>
    <cfRule type="cellIs" dxfId="624" priority="1019" operator="equal">
      <formula>"Neutral"</formula>
    </cfRule>
    <cfRule type="cellIs" dxfId="623" priority="1020" operator="equal">
      <formula>"Rogue"</formula>
    </cfRule>
    <cfRule type="cellIs" dxfId="622" priority="1021" operator="equal">
      <formula>"Guardian"</formula>
    </cfRule>
    <cfRule type="cellIs" dxfId="621" priority="1022" operator="equal">
      <formula>"Survivor"</formula>
    </cfRule>
    <cfRule type="cellIs" dxfId="620" priority="1023" operator="equal">
      <formula>"Mystic"</formula>
    </cfRule>
  </conditionalFormatting>
  <conditionalFormatting sqref="AM1438:AM1441">
    <cfRule type="cellIs" dxfId="619" priority="1012" operator="equal">
      <formula>"seeker"</formula>
    </cfRule>
    <cfRule type="cellIs" dxfId="618" priority="1013" operator="equal">
      <formula>"neutral"</formula>
    </cfRule>
    <cfRule type="cellIs" dxfId="617" priority="1014" operator="equal">
      <formula>"rogue"</formula>
    </cfRule>
    <cfRule type="cellIs" dxfId="616" priority="1015" operator="equal">
      <formula>"Guardian"</formula>
    </cfRule>
    <cfRule type="cellIs" dxfId="615" priority="1016" operator="equal">
      <formula>"Survivor"</formula>
    </cfRule>
    <cfRule type="cellIs" dxfId="614" priority="1017" operator="equal">
      <formula>"Mystic"</formula>
    </cfRule>
  </conditionalFormatting>
  <conditionalFormatting sqref="AM1437">
    <cfRule type="cellIs" dxfId="613" priority="1006" operator="equal">
      <formula>"Seeker"</formula>
    </cfRule>
    <cfRule type="cellIs" dxfId="612" priority="1007" operator="equal">
      <formula>"Neutral"</formula>
    </cfRule>
    <cfRule type="cellIs" dxfId="611" priority="1008" operator="equal">
      <formula>"Rogue"</formula>
    </cfRule>
    <cfRule type="cellIs" dxfId="610" priority="1009" operator="equal">
      <formula>"Guardian"</formula>
    </cfRule>
    <cfRule type="cellIs" dxfId="609" priority="1010" operator="equal">
      <formula>"Survivor"</formula>
    </cfRule>
    <cfRule type="cellIs" dxfId="608" priority="1011" operator="equal">
      <formula>"Mystic"</formula>
    </cfRule>
  </conditionalFormatting>
  <conditionalFormatting sqref="AM1490:AM1509 K1490:K1509 K1449:K1462 AM1462 AM1468:AM1469 K1466:K1469 AM1480:AM1488 K1474:K1488 AM1473:AM1478">
    <cfRule type="cellIs" dxfId="607" priority="880" operator="equal">
      <formula>"seeker"</formula>
    </cfRule>
    <cfRule type="cellIs" dxfId="606" priority="881" operator="equal">
      <formula>"neutral"</formula>
    </cfRule>
    <cfRule type="cellIs" dxfId="605" priority="882" operator="equal">
      <formula>"rogue"</formula>
    </cfRule>
    <cfRule type="cellIs" dxfId="604" priority="883" operator="equal">
      <formula>"Guardian"</formula>
    </cfRule>
    <cfRule type="cellIs" dxfId="603" priority="884" operator="equal">
      <formula>"Survivor"</formula>
    </cfRule>
    <cfRule type="cellIs" dxfId="602" priority="885" operator="equal">
      <formula>"Mystic"</formula>
    </cfRule>
  </conditionalFormatting>
  <conditionalFormatting sqref="AL1453:AL1459">
    <cfRule type="cellIs" dxfId="601" priority="874" operator="equal">
      <formula>"Seeker"</formula>
    </cfRule>
    <cfRule type="cellIs" dxfId="600" priority="875" operator="equal">
      <formula>"Neutral"</formula>
    </cfRule>
    <cfRule type="cellIs" dxfId="599" priority="876" operator="equal">
      <formula>"Rogue"</formula>
    </cfRule>
    <cfRule type="cellIs" dxfId="598" priority="877" operator="equal">
      <formula>"Guardian"</formula>
    </cfRule>
    <cfRule type="cellIs" dxfId="597" priority="878" operator="equal">
      <formula>"Survivor"</formula>
    </cfRule>
    <cfRule type="cellIs" dxfId="596" priority="879" operator="equal">
      <formula>"Mystic"</formula>
    </cfRule>
  </conditionalFormatting>
  <conditionalFormatting sqref="AM1472">
    <cfRule type="cellIs" dxfId="595" priority="868" operator="equal">
      <formula>"seeker"</formula>
    </cfRule>
    <cfRule type="cellIs" dxfId="594" priority="869" operator="equal">
      <formula>"neutral"</formula>
    </cfRule>
    <cfRule type="cellIs" dxfId="593" priority="870" operator="equal">
      <formula>"rogue"</formula>
    </cfRule>
    <cfRule type="cellIs" dxfId="592" priority="871" operator="equal">
      <formula>"Guardian"</formula>
    </cfRule>
    <cfRule type="cellIs" dxfId="591" priority="872" operator="equal">
      <formula>"Survivor"</formula>
    </cfRule>
    <cfRule type="cellIs" dxfId="590" priority="873" operator="equal">
      <formula>"Mystic"</formula>
    </cfRule>
  </conditionalFormatting>
  <conditionalFormatting sqref="K1448">
    <cfRule type="cellIs" dxfId="589" priority="862" operator="equal">
      <formula>"Seeker"</formula>
    </cfRule>
    <cfRule type="cellIs" dxfId="588" priority="863" operator="equal">
      <formula>"Neutral"</formula>
    </cfRule>
    <cfRule type="cellIs" dxfId="587" priority="864" operator="equal">
      <formula>"Rogue"</formula>
    </cfRule>
    <cfRule type="cellIs" dxfId="586" priority="865" operator="equal">
      <formula>"Guardian"</formula>
    </cfRule>
    <cfRule type="cellIs" dxfId="585" priority="866" operator="equal">
      <formula>"Survivor"</formula>
    </cfRule>
    <cfRule type="cellIs" dxfId="584" priority="867" operator="equal">
      <formula>"Mystic"</formula>
    </cfRule>
  </conditionalFormatting>
  <conditionalFormatting sqref="AM1449:AM1452">
    <cfRule type="cellIs" dxfId="583" priority="856" operator="equal">
      <formula>"seeker"</formula>
    </cfRule>
    <cfRule type="cellIs" dxfId="582" priority="857" operator="equal">
      <formula>"neutral"</formula>
    </cfRule>
    <cfRule type="cellIs" dxfId="581" priority="858" operator="equal">
      <formula>"rogue"</formula>
    </cfRule>
    <cfRule type="cellIs" dxfId="580" priority="859" operator="equal">
      <formula>"Guardian"</formula>
    </cfRule>
    <cfRule type="cellIs" dxfId="579" priority="860" operator="equal">
      <formula>"Survivor"</formula>
    </cfRule>
    <cfRule type="cellIs" dxfId="578" priority="861" operator="equal">
      <formula>"Mystic"</formula>
    </cfRule>
  </conditionalFormatting>
  <conditionalFormatting sqref="AM1448">
    <cfRule type="cellIs" dxfId="577" priority="850" operator="equal">
      <formula>"Seeker"</formula>
    </cfRule>
    <cfRule type="cellIs" dxfId="576" priority="851" operator="equal">
      <formula>"Neutral"</formula>
    </cfRule>
    <cfRule type="cellIs" dxfId="575" priority="852" operator="equal">
      <formula>"Rogue"</formula>
    </cfRule>
    <cfRule type="cellIs" dxfId="574" priority="853" operator="equal">
      <formula>"Guardian"</formula>
    </cfRule>
    <cfRule type="cellIs" dxfId="573" priority="854" operator="equal">
      <formula>"Survivor"</formula>
    </cfRule>
    <cfRule type="cellIs" dxfId="572" priority="855" operator="equal">
      <formula>"Mystic"</formula>
    </cfRule>
  </conditionalFormatting>
  <conditionalFormatting sqref="K1463">
    <cfRule type="cellIs" dxfId="571" priority="844" operator="equal">
      <formula>"Seeker"</formula>
    </cfRule>
    <cfRule type="cellIs" dxfId="570" priority="845" operator="equal">
      <formula>"Neutral"</formula>
    </cfRule>
    <cfRule type="cellIs" dxfId="569" priority="846" operator="equal">
      <formula>"Rogue"</formula>
    </cfRule>
    <cfRule type="cellIs" dxfId="568" priority="847" operator="equal">
      <formula>"Guardian"</formula>
    </cfRule>
    <cfRule type="cellIs" dxfId="567" priority="848" operator="equal">
      <formula>"Survivor"</formula>
    </cfRule>
    <cfRule type="cellIs" dxfId="566" priority="849" operator="equal">
      <formula>"Mystic"</formula>
    </cfRule>
  </conditionalFormatting>
  <conditionalFormatting sqref="AM1463">
    <cfRule type="cellIs" dxfId="565" priority="838" operator="equal">
      <formula>"Seeker"</formula>
    </cfRule>
    <cfRule type="cellIs" dxfId="564" priority="839" operator="equal">
      <formula>"Neutral"</formula>
    </cfRule>
    <cfRule type="cellIs" dxfId="563" priority="840" operator="equal">
      <formula>"Rogue"</formula>
    </cfRule>
    <cfRule type="cellIs" dxfId="562" priority="841" operator="equal">
      <formula>"Guardian"</formula>
    </cfRule>
    <cfRule type="cellIs" dxfId="561" priority="842" operator="equal">
      <formula>"Survivor"</formula>
    </cfRule>
    <cfRule type="cellIs" dxfId="560" priority="843" operator="equal">
      <formula>"Mystic"</formula>
    </cfRule>
  </conditionalFormatting>
  <conditionalFormatting sqref="K1464">
    <cfRule type="cellIs" dxfId="559" priority="832" operator="equal">
      <formula>"Seeker"</formula>
    </cfRule>
    <cfRule type="cellIs" dxfId="558" priority="833" operator="equal">
      <formula>"Neutral"</formula>
    </cfRule>
    <cfRule type="cellIs" dxfId="557" priority="834" operator="equal">
      <formula>"Rogue"</formula>
    </cfRule>
    <cfRule type="cellIs" dxfId="556" priority="835" operator="equal">
      <formula>"Guardian"</formula>
    </cfRule>
    <cfRule type="cellIs" dxfId="555" priority="836" operator="equal">
      <formula>"Survivor"</formula>
    </cfRule>
    <cfRule type="cellIs" dxfId="554" priority="837" operator="equal">
      <formula>"Mystic"</formula>
    </cfRule>
  </conditionalFormatting>
  <conditionalFormatting sqref="K1465">
    <cfRule type="cellIs" dxfId="553" priority="826" operator="equal">
      <formula>"Seeker"</formula>
    </cfRule>
    <cfRule type="cellIs" dxfId="552" priority="827" operator="equal">
      <formula>"Neutral"</formula>
    </cfRule>
    <cfRule type="cellIs" dxfId="551" priority="828" operator="equal">
      <formula>"Rogue"</formula>
    </cfRule>
    <cfRule type="cellIs" dxfId="550" priority="829" operator="equal">
      <formula>"Guardian"</formula>
    </cfRule>
    <cfRule type="cellIs" dxfId="549" priority="830" operator="equal">
      <formula>"Survivor"</formula>
    </cfRule>
    <cfRule type="cellIs" dxfId="548" priority="831" operator="equal">
      <formula>"Mystic"</formula>
    </cfRule>
  </conditionalFormatting>
  <conditionalFormatting sqref="K1470">
    <cfRule type="cellIs" dxfId="547" priority="820" operator="equal">
      <formula>"seeker"</formula>
    </cfRule>
    <cfRule type="cellIs" dxfId="546" priority="821" operator="equal">
      <formula>"neutral"</formula>
    </cfRule>
    <cfRule type="cellIs" dxfId="545" priority="822" operator="equal">
      <formula>"rogue"</formula>
    </cfRule>
    <cfRule type="cellIs" dxfId="544" priority="823" operator="equal">
      <formula>"Guardian"</formula>
    </cfRule>
    <cfRule type="cellIs" dxfId="543" priority="824" operator="equal">
      <formula>"Survivor"</formula>
    </cfRule>
    <cfRule type="cellIs" dxfId="542" priority="825" operator="equal">
      <formula>"Mystic"</formula>
    </cfRule>
  </conditionalFormatting>
  <conditionalFormatting sqref="AM1470">
    <cfRule type="cellIs" dxfId="541" priority="814" operator="equal">
      <formula>"seeker"</formula>
    </cfRule>
    <cfRule type="cellIs" dxfId="540" priority="815" operator="equal">
      <formula>"neutral"</formula>
    </cfRule>
    <cfRule type="cellIs" dxfId="539" priority="816" operator="equal">
      <formula>"rogue"</formula>
    </cfRule>
    <cfRule type="cellIs" dxfId="538" priority="817" operator="equal">
      <formula>"Guardian"</formula>
    </cfRule>
    <cfRule type="cellIs" dxfId="537" priority="818" operator="equal">
      <formula>"Survivor"</formula>
    </cfRule>
    <cfRule type="cellIs" dxfId="536" priority="819" operator="equal">
      <formula>"Mystic"</formula>
    </cfRule>
  </conditionalFormatting>
  <conditionalFormatting sqref="K1471">
    <cfRule type="cellIs" dxfId="535" priority="808" operator="equal">
      <formula>"seeker"</formula>
    </cfRule>
    <cfRule type="cellIs" dxfId="534" priority="809" operator="equal">
      <formula>"neutral"</formula>
    </cfRule>
    <cfRule type="cellIs" dxfId="533" priority="810" operator="equal">
      <formula>"rogue"</formula>
    </cfRule>
    <cfRule type="cellIs" dxfId="532" priority="811" operator="equal">
      <formula>"Guardian"</formula>
    </cfRule>
    <cfRule type="cellIs" dxfId="531" priority="812" operator="equal">
      <formula>"Survivor"</formula>
    </cfRule>
    <cfRule type="cellIs" dxfId="530" priority="813" operator="equal">
      <formula>"Mystic"</formula>
    </cfRule>
  </conditionalFormatting>
  <conditionalFormatting sqref="AM1471">
    <cfRule type="cellIs" dxfId="529" priority="802" operator="equal">
      <formula>"seeker"</formula>
    </cfRule>
    <cfRule type="cellIs" dxfId="528" priority="803" operator="equal">
      <formula>"neutral"</formula>
    </cfRule>
    <cfRule type="cellIs" dxfId="527" priority="804" operator="equal">
      <formula>"rogue"</formula>
    </cfRule>
    <cfRule type="cellIs" dxfId="526" priority="805" operator="equal">
      <formula>"Guardian"</formula>
    </cfRule>
    <cfRule type="cellIs" dxfId="525" priority="806" operator="equal">
      <formula>"Survivor"</formula>
    </cfRule>
    <cfRule type="cellIs" dxfId="524" priority="807" operator="equal">
      <formula>"Mystic"</formula>
    </cfRule>
  </conditionalFormatting>
  <conditionalFormatting sqref="K1472">
    <cfRule type="cellIs" dxfId="523" priority="796" operator="equal">
      <formula>"seeker"</formula>
    </cfRule>
    <cfRule type="cellIs" dxfId="522" priority="797" operator="equal">
      <formula>"neutral"</formula>
    </cfRule>
    <cfRule type="cellIs" dxfId="521" priority="798" operator="equal">
      <formula>"rogue"</formula>
    </cfRule>
    <cfRule type="cellIs" dxfId="520" priority="799" operator="equal">
      <formula>"Guardian"</formula>
    </cfRule>
    <cfRule type="cellIs" dxfId="519" priority="800" operator="equal">
      <formula>"Survivor"</formula>
    </cfRule>
    <cfRule type="cellIs" dxfId="518" priority="801" operator="equal">
      <formula>"Mystic"</formula>
    </cfRule>
  </conditionalFormatting>
  <conditionalFormatting sqref="K1473">
    <cfRule type="cellIs" dxfId="517" priority="790" operator="equal">
      <formula>"seeker"</formula>
    </cfRule>
    <cfRule type="cellIs" dxfId="516" priority="791" operator="equal">
      <formula>"neutral"</formula>
    </cfRule>
    <cfRule type="cellIs" dxfId="515" priority="792" operator="equal">
      <formula>"rogue"</formula>
    </cfRule>
    <cfRule type="cellIs" dxfId="514" priority="793" operator="equal">
      <formula>"Guardian"</formula>
    </cfRule>
    <cfRule type="cellIs" dxfId="513" priority="794" operator="equal">
      <formula>"Survivor"</formula>
    </cfRule>
    <cfRule type="cellIs" dxfId="512" priority="795" operator="equal">
      <formula>"Mystic"</formula>
    </cfRule>
  </conditionalFormatting>
  <conditionalFormatting sqref="AM1479">
    <cfRule type="cellIs" dxfId="511" priority="784" operator="equal">
      <formula>"seeker"</formula>
    </cfRule>
    <cfRule type="cellIs" dxfId="510" priority="785" operator="equal">
      <formula>"neutral"</formula>
    </cfRule>
    <cfRule type="cellIs" dxfId="509" priority="786" operator="equal">
      <formula>"rogue"</formula>
    </cfRule>
    <cfRule type="cellIs" dxfId="508" priority="787" operator="equal">
      <formula>"Guardian"</formula>
    </cfRule>
    <cfRule type="cellIs" dxfId="507" priority="788" operator="equal">
      <formula>"Survivor"</formula>
    </cfRule>
    <cfRule type="cellIs" dxfId="506" priority="789" operator="equal">
      <formula>"Mystic"</formula>
    </cfRule>
  </conditionalFormatting>
  <conditionalFormatting sqref="K1489">
    <cfRule type="cellIs" dxfId="505" priority="778" operator="equal">
      <formula>"seeker"</formula>
    </cfRule>
    <cfRule type="cellIs" dxfId="504" priority="779" operator="equal">
      <formula>"neutral"</formula>
    </cfRule>
    <cfRule type="cellIs" dxfId="503" priority="780" operator="equal">
      <formula>"rogue"</formula>
    </cfRule>
    <cfRule type="cellIs" dxfId="502" priority="781" operator="equal">
      <formula>"Guardian"</formula>
    </cfRule>
    <cfRule type="cellIs" dxfId="501" priority="782" operator="equal">
      <formula>"Survivor"</formula>
    </cfRule>
    <cfRule type="cellIs" dxfId="500" priority="783" operator="equal">
      <formula>"Mystic"</formula>
    </cfRule>
  </conditionalFormatting>
  <conditionalFormatting sqref="AL1489">
    <cfRule type="cellIs" dxfId="499" priority="772" operator="equal">
      <formula>"Seeker"</formula>
    </cfRule>
    <cfRule type="cellIs" dxfId="498" priority="773" operator="equal">
      <formula>"Neutral"</formula>
    </cfRule>
    <cfRule type="cellIs" dxfId="497" priority="774" operator="equal">
      <formula>"Rogue"</formula>
    </cfRule>
    <cfRule type="cellIs" dxfId="496" priority="775" operator="equal">
      <formula>"Guardian"</formula>
    </cfRule>
    <cfRule type="cellIs" dxfId="495" priority="776" operator="equal">
      <formula>"Survivor"</formula>
    </cfRule>
    <cfRule type="cellIs" dxfId="494" priority="777" operator="equal">
      <formula>"Mystic"</formula>
    </cfRule>
  </conditionalFormatting>
  <conditionalFormatting sqref="AM1467">
    <cfRule type="cellIs" dxfId="493" priority="766" operator="equal">
      <formula>"seeker"</formula>
    </cfRule>
    <cfRule type="cellIs" dxfId="492" priority="767" operator="equal">
      <formula>"neutral"</formula>
    </cfRule>
    <cfRule type="cellIs" dxfId="491" priority="768" operator="equal">
      <formula>"rogue"</formula>
    </cfRule>
    <cfRule type="cellIs" dxfId="490" priority="769" operator="equal">
      <formula>"Guardian"</formula>
    </cfRule>
    <cfRule type="cellIs" dxfId="489" priority="770" operator="equal">
      <formula>"Survivor"</formula>
    </cfRule>
    <cfRule type="cellIs" dxfId="488" priority="771" operator="equal">
      <formula>"Mystic"</formula>
    </cfRule>
  </conditionalFormatting>
  <conditionalFormatting sqref="AM1558:AM1563 AM1608:AM1617">
    <cfRule type="cellIs" dxfId="487" priority="448" operator="equal">
      <formula>"seeker"</formula>
    </cfRule>
    <cfRule type="cellIs" dxfId="486" priority="449" operator="equal">
      <formula>"neutral"</formula>
    </cfRule>
    <cfRule type="cellIs" dxfId="485" priority="450" operator="equal">
      <formula>"rogue"</formula>
    </cfRule>
    <cfRule type="cellIs" dxfId="484" priority="451" operator="equal">
      <formula>"Guardian"</formula>
    </cfRule>
    <cfRule type="cellIs" dxfId="483" priority="452" operator="equal">
      <formula>"Survivor"</formula>
    </cfRule>
    <cfRule type="cellIs" dxfId="482" priority="453" operator="equal">
      <formula>"Mystic"</formula>
    </cfRule>
  </conditionalFormatting>
  <conditionalFormatting sqref="K1613">
    <cfRule type="cellIs" dxfId="481" priority="388" operator="equal">
      <formula>"seeker"</formula>
    </cfRule>
    <cfRule type="cellIs" dxfId="480" priority="389" operator="equal">
      <formula>"neutral"</formula>
    </cfRule>
    <cfRule type="cellIs" dxfId="479" priority="390" operator="equal">
      <formula>"rogue"</formula>
    </cfRule>
    <cfRule type="cellIs" dxfId="478" priority="391" operator="equal">
      <formula>"Guardian"</formula>
    </cfRule>
    <cfRule type="cellIs" dxfId="477" priority="392" operator="equal">
      <formula>"Survivor"</formula>
    </cfRule>
    <cfRule type="cellIs" dxfId="476" priority="393" operator="equal">
      <formula>"Mystic"</formula>
    </cfRule>
  </conditionalFormatting>
  <conditionalFormatting sqref="AM1604:AM1607">
    <cfRule type="cellIs" dxfId="475" priority="442" operator="equal">
      <formula>"seeker"</formula>
    </cfRule>
    <cfRule type="cellIs" dxfId="474" priority="443" operator="equal">
      <formula>"neutral"</formula>
    </cfRule>
    <cfRule type="cellIs" dxfId="473" priority="444" operator="equal">
      <formula>"rogue"</formula>
    </cfRule>
    <cfRule type="cellIs" dxfId="472" priority="445" operator="equal">
      <formula>"Guardian"</formula>
    </cfRule>
    <cfRule type="cellIs" dxfId="471" priority="446" operator="equal">
      <formula>"Survivor"</formula>
    </cfRule>
    <cfRule type="cellIs" dxfId="470" priority="447" operator="equal">
      <formula>"Mystic"</formula>
    </cfRule>
  </conditionalFormatting>
  <conditionalFormatting sqref="AM1603">
    <cfRule type="cellIs" dxfId="469" priority="436" operator="equal">
      <formula>"Seeker"</formula>
    </cfRule>
    <cfRule type="cellIs" dxfId="468" priority="437" operator="equal">
      <formula>"Neutral"</formula>
    </cfRule>
    <cfRule type="cellIs" dxfId="467" priority="438" operator="equal">
      <formula>"Rogue"</formula>
    </cfRule>
    <cfRule type="cellIs" dxfId="466" priority="439" operator="equal">
      <formula>"Guardian"</formula>
    </cfRule>
    <cfRule type="cellIs" dxfId="465" priority="440" operator="equal">
      <formula>"Survivor"</formula>
    </cfRule>
    <cfRule type="cellIs" dxfId="464" priority="441" operator="equal">
      <formula>"Mystic"</formula>
    </cfRule>
  </conditionalFormatting>
  <conditionalFormatting sqref="K1604:K1607">
    <cfRule type="cellIs" dxfId="463" priority="430" operator="equal">
      <formula>"seeker"</formula>
    </cfRule>
    <cfRule type="cellIs" dxfId="462" priority="431" operator="equal">
      <formula>"neutral"</formula>
    </cfRule>
    <cfRule type="cellIs" dxfId="461" priority="432" operator="equal">
      <formula>"rogue"</formula>
    </cfRule>
    <cfRule type="cellIs" dxfId="460" priority="433" operator="equal">
      <formula>"Guardian"</formula>
    </cfRule>
    <cfRule type="cellIs" dxfId="459" priority="434" operator="equal">
      <formula>"Survivor"</formula>
    </cfRule>
    <cfRule type="cellIs" dxfId="458" priority="435" operator="equal">
      <formula>"Mystic"</formula>
    </cfRule>
  </conditionalFormatting>
  <conditionalFormatting sqref="K1603">
    <cfRule type="cellIs" dxfId="457" priority="424" operator="equal">
      <formula>"Seeker"</formula>
    </cfRule>
    <cfRule type="cellIs" dxfId="456" priority="425" operator="equal">
      <formula>"Neutral"</formula>
    </cfRule>
    <cfRule type="cellIs" dxfId="455" priority="426" operator="equal">
      <formula>"Rogue"</formula>
    </cfRule>
    <cfRule type="cellIs" dxfId="454" priority="427" operator="equal">
      <formula>"Guardian"</formula>
    </cfRule>
    <cfRule type="cellIs" dxfId="453" priority="428" operator="equal">
      <formula>"Survivor"</formula>
    </cfRule>
    <cfRule type="cellIs" dxfId="452" priority="429" operator="equal">
      <formula>"Mystic"</formula>
    </cfRule>
  </conditionalFormatting>
  <conditionalFormatting sqref="K1608">
    <cfRule type="cellIs" dxfId="451" priority="418" operator="equal">
      <formula>"Seeker"</formula>
    </cfRule>
    <cfRule type="cellIs" dxfId="450" priority="419" operator="equal">
      <formula>"Neutral"</formula>
    </cfRule>
    <cfRule type="cellIs" dxfId="449" priority="420" operator="equal">
      <formula>"Rogue"</formula>
    </cfRule>
    <cfRule type="cellIs" dxfId="448" priority="421" operator="equal">
      <formula>"Guardian"</formula>
    </cfRule>
    <cfRule type="cellIs" dxfId="447" priority="422" operator="equal">
      <formula>"Survivor"</formula>
    </cfRule>
    <cfRule type="cellIs" dxfId="446" priority="423" operator="equal">
      <formula>"Mystic"</formula>
    </cfRule>
  </conditionalFormatting>
  <conditionalFormatting sqref="K1609">
    <cfRule type="cellIs" dxfId="445" priority="412" operator="equal">
      <formula>"Seeker"</formula>
    </cfRule>
    <cfRule type="cellIs" dxfId="444" priority="413" operator="equal">
      <formula>"Neutral"</formula>
    </cfRule>
    <cfRule type="cellIs" dxfId="443" priority="414" operator="equal">
      <formula>"Rogue"</formula>
    </cfRule>
    <cfRule type="cellIs" dxfId="442" priority="415" operator="equal">
      <formula>"Guardian"</formula>
    </cfRule>
    <cfRule type="cellIs" dxfId="441" priority="416" operator="equal">
      <formula>"Survivor"</formula>
    </cfRule>
    <cfRule type="cellIs" dxfId="440" priority="417" operator="equal">
      <formula>"Mystic"</formula>
    </cfRule>
  </conditionalFormatting>
  <conditionalFormatting sqref="K1610">
    <cfRule type="cellIs" dxfId="439" priority="406" operator="equal">
      <formula>"seeker"</formula>
    </cfRule>
    <cfRule type="cellIs" dxfId="438" priority="407" operator="equal">
      <formula>"neutral"</formula>
    </cfRule>
    <cfRule type="cellIs" dxfId="437" priority="408" operator="equal">
      <formula>"rogue"</formula>
    </cfRule>
    <cfRule type="cellIs" dxfId="436" priority="409" operator="equal">
      <formula>"Guardian"</formula>
    </cfRule>
    <cfRule type="cellIs" dxfId="435" priority="410" operator="equal">
      <formula>"Survivor"</formula>
    </cfRule>
    <cfRule type="cellIs" dxfId="434" priority="411" operator="equal">
      <formula>"Mystic"</formula>
    </cfRule>
  </conditionalFormatting>
  <conditionalFormatting sqref="K1611">
    <cfRule type="cellIs" dxfId="433" priority="400" operator="equal">
      <formula>"seeker"</formula>
    </cfRule>
    <cfRule type="cellIs" dxfId="432" priority="401" operator="equal">
      <formula>"neutral"</formula>
    </cfRule>
    <cfRule type="cellIs" dxfId="431" priority="402" operator="equal">
      <formula>"rogue"</formula>
    </cfRule>
    <cfRule type="cellIs" dxfId="430" priority="403" operator="equal">
      <formula>"Guardian"</formula>
    </cfRule>
    <cfRule type="cellIs" dxfId="429" priority="404" operator="equal">
      <formula>"Survivor"</formula>
    </cfRule>
    <cfRule type="cellIs" dxfId="428" priority="405" operator="equal">
      <formula>"Mystic"</formula>
    </cfRule>
  </conditionalFormatting>
  <conditionalFormatting sqref="K1612">
    <cfRule type="cellIs" dxfId="427" priority="394" operator="equal">
      <formula>"seeker"</formula>
    </cfRule>
    <cfRule type="cellIs" dxfId="426" priority="395" operator="equal">
      <formula>"neutral"</formula>
    </cfRule>
    <cfRule type="cellIs" dxfId="425" priority="396" operator="equal">
      <formula>"rogue"</formula>
    </cfRule>
    <cfRule type="cellIs" dxfId="424" priority="397" operator="equal">
      <formula>"Guardian"</formula>
    </cfRule>
    <cfRule type="cellIs" dxfId="423" priority="398" operator="equal">
      <formula>"Survivor"</formula>
    </cfRule>
    <cfRule type="cellIs" dxfId="422" priority="399" operator="equal">
      <formula>"Mystic"</formula>
    </cfRule>
  </conditionalFormatting>
  <conditionalFormatting sqref="K1614">
    <cfRule type="cellIs" dxfId="421" priority="382" operator="equal">
      <formula>"seeker"</formula>
    </cfRule>
    <cfRule type="cellIs" dxfId="420" priority="383" operator="equal">
      <formula>"neutral"</formula>
    </cfRule>
    <cfRule type="cellIs" dxfId="419" priority="384" operator="equal">
      <formula>"rogue"</formula>
    </cfRule>
    <cfRule type="cellIs" dxfId="418" priority="385" operator="equal">
      <formula>"Guardian"</formula>
    </cfRule>
    <cfRule type="cellIs" dxfId="417" priority="386" operator="equal">
      <formula>"Survivor"</formula>
    </cfRule>
    <cfRule type="cellIs" dxfId="416" priority="387" operator="equal">
      <formula>"Mystic"</formula>
    </cfRule>
  </conditionalFormatting>
  <conditionalFormatting sqref="K1615">
    <cfRule type="cellIs" dxfId="415" priority="376" operator="equal">
      <formula>"seeker"</formula>
    </cfRule>
    <cfRule type="cellIs" dxfId="414" priority="377" operator="equal">
      <formula>"neutral"</formula>
    </cfRule>
    <cfRule type="cellIs" dxfId="413" priority="378" operator="equal">
      <formula>"rogue"</formula>
    </cfRule>
    <cfRule type="cellIs" dxfId="412" priority="379" operator="equal">
      <formula>"Guardian"</formula>
    </cfRule>
    <cfRule type="cellIs" dxfId="411" priority="380" operator="equal">
      <formula>"Survivor"</formula>
    </cfRule>
    <cfRule type="cellIs" dxfId="410" priority="381" operator="equal">
      <formula>"Mystic"</formula>
    </cfRule>
  </conditionalFormatting>
  <conditionalFormatting sqref="K1616">
    <cfRule type="cellIs" dxfId="409" priority="370" operator="equal">
      <formula>"seeker"</formula>
    </cfRule>
    <cfRule type="cellIs" dxfId="408" priority="371" operator="equal">
      <formula>"neutral"</formula>
    </cfRule>
    <cfRule type="cellIs" dxfId="407" priority="372" operator="equal">
      <formula>"rogue"</formula>
    </cfRule>
    <cfRule type="cellIs" dxfId="406" priority="373" operator="equal">
      <formula>"Guardian"</formula>
    </cfRule>
    <cfRule type="cellIs" dxfId="405" priority="374" operator="equal">
      <formula>"Survivor"</formula>
    </cfRule>
    <cfRule type="cellIs" dxfId="404" priority="375" operator="equal">
      <formula>"Mystic"</formula>
    </cfRule>
  </conditionalFormatting>
  <conditionalFormatting sqref="K1617">
    <cfRule type="cellIs" dxfId="403" priority="364" operator="equal">
      <formula>"seeker"</formula>
    </cfRule>
    <cfRule type="cellIs" dxfId="402" priority="365" operator="equal">
      <formula>"neutral"</formula>
    </cfRule>
    <cfRule type="cellIs" dxfId="401" priority="366" operator="equal">
      <formula>"rogue"</formula>
    </cfRule>
    <cfRule type="cellIs" dxfId="400" priority="367" operator="equal">
      <formula>"Guardian"</formula>
    </cfRule>
    <cfRule type="cellIs" dxfId="399" priority="368" operator="equal">
      <formula>"Survivor"</formula>
    </cfRule>
    <cfRule type="cellIs" dxfId="398" priority="369" operator="equal">
      <formula>"Mystic"</formula>
    </cfRule>
  </conditionalFormatting>
  <conditionalFormatting sqref="AM1599:AM1602">
    <cfRule type="cellIs" dxfId="397" priority="358" operator="equal">
      <formula>"seeker"</formula>
    </cfRule>
    <cfRule type="cellIs" dxfId="396" priority="359" operator="equal">
      <formula>"neutral"</formula>
    </cfRule>
    <cfRule type="cellIs" dxfId="395" priority="360" operator="equal">
      <formula>"rogue"</formula>
    </cfRule>
    <cfRule type="cellIs" dxfId="394" priority="361" operator="equal">
      <formula>"Guardian"</formula>
    </cfRule>
    <cfRule type="cellIs" dxfId="393" priority="362" operator="equal">
      <formula>"Survivor"</formula>
    </cfRule>
    <cfRule type="cellIs" dxfId="392" priority="363" operator="equal">
      <formula>"Mystic"</formula>
    </cfRule>
  </conditionalFormatting>
  <conditionalFormatting sqref="AM1598">
    <cfRule type="cellIs" dxfId="391" priority="352" operator="equal">
      <formula>"Seeker"</formula>
    </cfRule>
    <cfRule type="cellIs" dxfId="390" priority="353" operator="equal">
      <formula>"Neutral"</formula>
    </cfRule>
    <cfRule type="cellIs" dxfId="389" priority="354" operator="equal">
      <formula>"Rogue"</formula>
    </cfRule>
    <cfRule type="cellIs" dxfId="388" priority="355" operator="equal">
      <formula>"Guardian"</formula>
    </cfRule>
    <cfRule type="cellIs" dxfId="387" priority="356" operator="equal">
      <formula>"Survivor"</formula>
    </cfRule>
    <cfRule type="cellIs" dxfId="386" priority="357" operator="equal">
      <formula>"Mystic"</formula>
    </cfRule>
  </conditionalFormatting>
  <conditionalFormatting sqref="K1599:K1602">
    <cfRule type="cellIs" dxfId="385" priority="346" operator="equal">
      <formula>"seeker"</formula>
    </cfRule>
    <cfRule type="cellIs" dxfId="384" priority="347" operator="equal">
      <formula>"neutral"</formula>
    </cfRule>
    <cfRule type="cellIs" dxfId="383" priority="348" operator="equal">
      <formula>"rogue"</formula>
    </cfRule>
    <cfRule type="cellIs" dxfId="382" priority="349" operator="equal">
      <formula>"Guardian"</formula>
    </cfRule>
    <cfRule type="cellIs" dxfId="381" priority="350" operator="equal">
      <formula>"Survivor"</formula>
    </cfRule>
    <cfRule type="cellIs" dxfId="380" priority="351" operator="equal">
      <formula>"Mystic"</formula>
    </cfRule>
  </conditionalFormatting>
  <conditionalFormatting sqref="K1598">
    <cfRule type="cellIs" dxfId="379" priority="340" operator="equal">
      <formula>"Seeker"</formula>
    </cfRule>
    <cfRule type="cellIs" dxfId="378" priority="341" operator="equal">
      <formula>"Neutral"</formula>
    </cfRule>
    <cfRule type="cellIs" dxfId="377" priority="342" operator="equal">
      <formula>"Rogue"</formula>
    </cfRule>
    <cfRule type="cellIs" dxfId="376" priority="343" operator="equal">
      <formula>"Guardian"</formula>
    </cfRule>
    <cfRule type="cellIs" dxfId="375" priority="344" operator="equal">
      <formula>"Survivor"</formula>
    </cfRule>
    <cfRule type="cellIs" dxfId="374" priority="345" operator="equal">
      <formula>"Mystic"</formula>
    </cfRule>
  </conditionalFormatting>
  <conditionalFormatting sqref="K1551">
    <cfRule type="cellIs" dxfId="373" priority="196" operator="equal">
      <formula>"seeker"</formula>
    </cfRule>
    <cfRule type="cellIs" dxfId="372" priority="197" operator="equal">
      <formula>"neutral"</formula>
    </cfRule>
    <cfRule type="cellIs" dxfId="371" priority="198" operator="equal">
      <formula>"rogue"</formula>
    </cfRule>
    <cfRule type="cellIs" dxfId="370" priority="199" operator="equal">
      <formula>"Guardian"</formula>
    </cfRule>
    <cfRule type="cellIs" dxfId="369" priority="200" operator="equal">
      <formula>"Survivor"</formula>
    </cfRule>
    <cfRule type="cellIs" dxfId="368" priority="201" operator="equal">
      <formula>"Mystic"</formula>
    </cfRule>
  </conditionalFormatting>
  <conditionalFormatting sqref="AM1553:AM1556">
    <cfRule type="cellIs" dxfId="367" priority="334" operator="equal">
      <formula>"seeker"</formula>
    </cfRule>
    <cfRule type="cellIs" dxfId="366" priority="335" operator="equal">
      <formula>"neutral"</formula>
    </cfRule>
    <cfRule type="cellIs" dxfId="365" priority="336" operator="equal">
      <formula>"rogue"</formula>
    </cfRule>
    <cfRule type="cellIs" dxfId="364" priority="337" operator="equal">
      <formula>"Guardian"</formula>
    </cfRule>
    <cfRule type="cellIs" dxfId="363" priority="338" operator="equal">
      <formula>"Survivor"</formula>
    </cfRule>
    <cfRule type="cellIs" dxfId="362" priority="339" operator="equal">
      <formula>"Mystic"</formula>
    </cfRule>
  </conditionalFormatting>
  <conditionalFormatting sqref="AM1552">
    <cfRule type="cellIs" dxfId="361" priority="328" operator="equal">
      <formula>"Seeker"</formula>
    </cfRule>
    <cfRule type="cellIs" dxfId="360" priority="329" operator="equal">
      <formula>"Neutral"</formula>
    </cfRule>
    <cfRule type="cellIs" dxfId="359" priority="330" operator="equal">
      <formula>"Rogue"</formula>
    </cfRule>
    <cfRule type="cellIs" dxfId="358" priority="331" operator="equal">
      <formula>"Guardian"</formula>
    </cfRule>
    <cfRule type="cellIs" dxfId="357" priority="332" operator="equal">
      <formula>"Survivor"</formula>
    </cfRule>
    <cfRule type="cellIs" dxfId="356" priority="333" operator="equal">
      <formula>"Mystic"</formula>
    </cfRule>
  </conditionalFormatting>
  <conditionalFormatting sqref="K1553:K1556">
    <cfRule type="cellIs" dxfId="355" priority="322" operator="equal">
      <formula>"seeker"</formula>
    </cfRule>
    <cfRule type="cellIs" dxfId="354" priority="323" operator="equal">
      <formula>"neutral"</formula>
    </cfRule>
    <cfRule type="cellIs" dxfId="353" priority="324" operator="equal">
      <formula>"rogue"</formula>
    </cfRule>
    <cfRule type="cellIs" dxfId="352" priority="325" operator="equal">
      <formula>"Guardian"</formula>
    </cfRule>
    <cfRule type="cellIs" dxfId="351" priority="326" operator="equal">
      <formula>"Survivor"</formula>
    </cfRule>
    <cfRule type="cellIs" dxfId="350" priority="327" operator="equal">
      <formula>"Mystic"</formula>
    </cfRule>
  </conditionalFormatting>
  <conditionalFormatting sqref="K1552">
    <cfRule type="cellIs" dxfId="349" priority="316" operator="equal">
      <formula>"Seeker"</formula>
    </cfRule>
    <cfRule type="cellIs" dxfId="348" priority="317" operator="equal">
      <formula>"Neutral"</formula>
    </cfRule>
    <cfRule type="cellIs" dxfId="347" priority="318" operator="equal">
      <formula>"Rogue"</formula>
    </cfRule>
    <cfRule type="cellIs" dxfId="346" priority="319" operator="equal">
      <formula>"Guardian"</formula>
    </cfRule>
    <cfRule type="cellIs" dxfId="345" priority="320" operator="equal">
      <formula>"Survivor"</formula>
    </cfRule>
    <cfRule type="cellIs" dxfId="344" priority="321" operator="equal">
      <formula>"Mystic"</formula>
    </cfRule>
  </conditionalFormatting>
  <conditionalFormatting sqref="K1557">
    <cfRule type="cellIs" dxfId="343" priority="310" operator="equal">
      <formula>"seeker"</formula>
    </cfRule>
    <cfRule type="cellIs" dxfId="342" priority="311" operator="equal">
      <formula>"neutral"</formula>
    </cfRule>
    <cfRule type="cellIs" dxfId="341" priority="312" operator="equal">
      <formula>"rogue"</formula>
    </cfRule>
    <cfRule type="cellIs" dxfId="340" priority="313" operator="equal">
      <formula>"Guardian"</formula>
    </cfRule>
    <cfRule type="cellIs" dxfId="339" priority="314" operator="equal">
      <formula>"Survivor"</formula>
    </cfRule>
    <cfRule type="cellIs" dxfId="338" priority="315" operator="equal">
      <formula>"Mystic"</formula>
    </cfRule>
  </conditionalFormatting>
  <conditionalFormatting sqref="AM1557">
    <cfRule type="cellIs" dxfId="337" priority="304" operator="equal">
      <formula>"seeker"</formula>
    </cfRule>
    <cfRule type="cellIs" dxfId="336" priority="305" operator="equal">
      <formula>"neutral"</formula>
    </cfRule>
    <cfRule type="cellIs" dxfId="335" priority="306" operator="equal">
      <formula>"rogue"</formula>
    </cfRule>
    <cfRule type="cellIs" dxfId="334" priority="307" operator="equal">
      <formula>"Guardian"</formula>
    </cfRule>
    <cfRule type="cellIs" dxfId="333" priority="308" operator="equal">
      <formula>"Survivor"</formula>
    </cfRule>
    <cfRule type="cellIs" dxfId="332" priority="309" operator="equal">
      <formula>"Mystic"</formula>
    </cfRule>
  </conditionalFormatting>
  <conditionalFormatting sqref="K1511:K1524 AM1524 AM1530:AM1531 K1528:K1531 AM1542:AM1550 K1536:K1550 AM1535:AM1540">
    <cfRule type="cellIs" dxfId="331" priority="298" operator="equal">
      <formula>"seeker"</formula>
    </cfRule>
    <cfRule type="cellIs" dxfId="330" priority="299" operator="equal">
      <formula>"neutral"</formula>
    </cfRule>
    <cfRule type="cellIs" dxfId="329" priority="300" operator="equal">
      <formula>"rogue"</formula>
    </cfRule>
    <cfRule type="cellIs" dxfId="328" priority="301" operator="equal">
      <formula>"Guardian"</formula>
    </cfRule>
    <cfRule type="cellIs" dxfId="327" priority="302" operator="equal">
      <formula>"Survivor"</formula>
    </cfRule>
    <cfRule type="cellIs" dxfId="326" priority="303" operator="equal">
      <formula>"Mystic"</formula>
    </cfRule>
  </conditionalFormatting>
  <conditionalFormatting sqref="AL1515:AL1521">
    <cfRule type="cellIs" dxfId="325" priority="292" operator="equal">
      <formula>"Seeker"</formula>
    </cfRule>
    <cfRule type="cellIs" dxfId="324" priority="293" operator="equal">
      <formula>"Neutral"</formula>
    </cfRule>
    <cfRule type="cellIs" dxfId="323" priority="294" operator="equal">
      <formula>"Rogue"</formula>
    </cfRule>
    <cfRule type="cellIs" dxfId="322" priority="295" operator="equal">
      <formula>"Guardian"</formula>
    </cfRule>
    <cfRule type="cellIs" dxfId="321" priority="296" operator="equal">
      <formula>"Survivor"</formula>
    </cfRule>
    <cfRule type="cellIs" dxfId="320" priority="297" operator="equal">
      <formula>"Mystic"</formula>
    </cfRule>
  </conditionalFormatting>
  <conditionalFormatting sqref="AM1534">
    <cfRule type="cellIs" dxfId="319" priority="286" operator="equal">
      <formula>"seeker"</formula>
    </cfRule>
    <cfRule type="cellIs" dxfId="318" priority="287" operator="equal">
      <formula>"neutral"</formula>
    </cfRule>
    <cfRule type="cellIs" dxfId="317" priority="288" operator="equal">
      <formula>"rogue"</formula>
    </cfRule>
    <cfRule type="cellIs" dxfId="316" priority="289" operator="equal">
      <formula>"Guardian"</formula>
    </cfRule>
    <cfRule type="cellIs" dxfId="315" priority="290" operator="equal">
      <formula>"Survivor"</formula>
    </cfRule>
    <cfRule type="cellIs" dxfId="314" priority="291" operator="equal">
      <formula>"Mystic"</formula>
    </cfRule>
  </conditionalFormatting>
  <conditionalFormatting sqref="K1510">
    <cfRule type="cellIs" dxfId="313" priority="280" operator="equal">
      <formula>"Seeker"</formula>
    </cfRule>
    <cfRule type="cellIs" dxfId="312" priority="281" operator="equal">
      <formula>"Neutral"</formula>
    </cfRule>
    <cfRule type="cellIs" dxfId="311" priority="282" operator="equal">
      <formula>"Rogue"</formula>
    </cfRule>
    <cfRule type="cellIs" dxfId="310" priority="283" operator="equal">
      <formula>"Guardian"</formula>
    </cfRule>
    <cfRule type="cellIs" dxfId="309" priority="284" operator="equal">
      <formula>"Survivor"</formula>
    </cfRule>
    <cfRule type="cellIs" dxfId="308" priority="285" operator="equal">
      <formula>"Mystic"</formula>
    </cfRule>
  </conditionalFormatting>
  <conditionalFormatting sqref="AM1511:AM1514">
    <cfRule type="cellIs" dxfId="307" priority="274" operator="equal">
      <formula>"seeker"</formula>
    </cfRule>
    <cfRule type="cellIs" dxfId="306" priority="275" operator="equal">
      <formula>"neutral"</formula>
    </cfRule>
    <cfRule type="cellIs" dxfId="305" priority="276" operator="equal">
      <formula>"rogue"</formula>
    </cfRule>
    <cfRule type="cellIs" dxfId="304" priority="277" operator="equal">
      <formula>"Guardian"</formula>
    </cfRule>
    <cfRule type="cellIs" dxfId="303" priority="278" operator="equal">
      <formula>"Survivor"</formula>
    </cfRule>
    <cfRule type="cellIs" dxfId="302" priority="279" operator="equal">
      <formula>"Mystic"</formula>
    </cfRule>
  </conditionalFormatting>
  <conditionalFormatting sqref="AM1510">
    <cfRule type="cellIs" dxfId="301" priority="268" operator="equal">
      <formula>"Seeker"</formula>
    </cfRule>
    <cfRule type="cellIs" dxfId="300" priority="269" operator="equal">
      <formula>"Neutral"</formula>
    </cfRule>
    <cfRule type="cellIs" dxfId="299" priority="270" operator="equal">
      <formula>"Rogue"</formula>
    </cfRule>
    <cfRule type="cellIs" dxfId="298" priority="271" operator="equal">
      <formula>"Guardian"</formula>
    </cfRule>
    <cfRule type="cellIs" dxfId="297" priority="272" operator="equal">
      <formula>"Survivor"</formula>
    </cfRule>
    <cfRule type="cellIs" dxfId="296" priority="273" operator="equal">
      <formula>"Mystic"</formula>
    </cfRule>
  </conditionalFormatting>
  <conditionalFormatting sqref="K1525">
    <cfRule type="cellIs" dxfId="295" priority="262" operator="equal">
      <formula>"Seeker"</formula>
    </cfRule>
    <cfRule type="cellIs" dxfId="294" priority="263" operator="equal">
      <formula>"Neutral"</formula>
    </cfRule>
    <cfRule type="cellIs" dxfId="293" priority="264" operator="equal">
      <formula>"Rogue"</formula>
    </cfRule>
    <cfRule type="cellIs" dxfId="292" priority="265" operator="equal">
      <formula>"Guardian"</formula>
    </cfRule>
    <cfRule type="cellIs" dxfId="291" priority="266" operator="equal">
      <formula>"Survivor"</formula>
    </cfRule>
    <cfRule type="cellIs" dxfId="290" priority="267" operator="equal">
      <formula>"Mystic"</formula>
    </cfRule>
  </conditionalFormatting>
  <conditionalFormatting sqref="AM1525">
    <cfRule type="cellIs" dxfId="289" priority="256" operator="equal">
      <formula>"Seeker"</formula>
    </cfRule>
    <cfRule type="cellIs" dxfId="288" priority="257" operator="equal">
      <formula>"Neutral"</formula>
    </cfRule>
    <cfRule type="cellIs" dxfId="287" priority="258" operator="equal">
      <formula>"Rogue"</formula>
    </cfRule>
    <cfRule type="cellIs" dxfId="286" priority="259" operator="equal">
      <formula>"Guardian"</formula>
    </cfRule>
    <cfRule type="cellIs" dxfId="285" priority="260" operator="equal">
      <formula>"Survivor"</formula>
    </cfRule>
    <cfRule type="cellIs" dxfId="284" priority="261" operator="equal">
      <formula>"Mystic"</formula>
    </cfRule>
  </conditionalFormatting>
  <conditionalFormatting sqref="K1526">
    <cfRule type="cellIs" dxfId="283" priority="250" operator="equal">
      <formula>"Seeker"</formula>
    </cfRule>
    <cfRule type="cellIs" dxfId="282" priority="251" operator="equal">
      <formula>"Neutral"</formula>
    </cfRule>
    <cfRule type="cellIs" dxfId="281" priority="252" operator="equal">
      <formula>"Rogue"</formula>
    </cfRule>
    <cfRule type="cellIs" dxfId="280" priority="253" operator="equal">
      <formula>"Guardian"</formula>
    </cfRule>
    <cfRule type="cellIs" dxfId="279" priority="254" operator="equal">
      <formula>"Survivor"</formula>
    </cfRule>
    <cfRule type="cellIs" dxfId="278" priority="255" operator="equal">
      <formula>"Mystic"</formula>
    </cfRule>
  </conditionalFormatting>
  <conditionalFormatting sqref="K1527">
    <cfRule type="cellIs" dxfId="277" priority="244" operator="equal">
      <formula>"Seeker"</formula>
    </cfRule>
    <cfRule type="cellIs" dxfId="276" priority="245" operator="equal">
      <formula>"Neutral"</formula>
    </cfRule>
    <cfRule type="cellIs" dxfId="275" priority="246" operator="equal">
      <formula>"Rogue"</formula>
    </cfRule>
    <cfRule type="cellIs" dxfId="274" priority="247" operator="equal">
      <formula>"Guardian"</formula>
    </cfRule>
    <cfRule type="cellIs" dxfId="273" priority="248" operator="equal">
      <formula>"Survivor"</formula>
    </cfRule>
    <cfRule type="cellIs" dxfId="272" priority="249" operator="equal">
      <formula>"Mystic"</formula>
    </cfRule>
  </conditionalFormatting>
  <conditionalFormatting sqref="K1532">
    <cfRule type="cellIs" dxfId="271" priority="238" operator="equal">
      <formula>"seeker"</formula>
    </cfRule>
    <cfRule type="cellIs" dxfId="270" priority="239" operator="equal">
      <formula>"neutral"</formula>
    </cfRule>
    <cfRule type="cellIs" dxfId="269" priority="240" operator="equal">
      <formula>"rogue"</formula>
    </cfRule>
    <cfRule type="cellIs" dxfId="268" priority="241" operator="equal">
      <formula>"Guardian"</formula>
    </cfRule>
    <cfRule type="cellIs" dxfId="267" priority="242" operator="equal">
      <formula>"Survivor"</formula>
    </cfRule>
    <cfRule type="cellIs" dxfId="266" priority="243" operator="equal">
      <formula>"Mystic"</formula>
    </cfRule>
  </conditionalFormatting>
  <conditionalFormatting sqref="AM1532">
    <cfRule type="cellIs" dxfId="265" priority="232" operator="equal">
      <formula>"seeker"</formula>
    </cfRule>
    <cfRule type="cellIs" dxfId="264" priority="233" operator="equal">
      <formula>"neutral"</formula>
    </cfRule>
    <cfRule type="cellIs" dxfId="263" priority="234" operator="equal">
      <formula>"rogue"</formula>
    </cfRule>
    <cfRule type="cellIs" dxfId="262" priority="235" operator="equal">
      <formula>"Guardian"</formula>
    </cfRule>
    <cfRule type="cellIs" dxfId="261" priority="236" operator="equal">
      <formula>"Survivor"</formula>
    </cfRule>
    <cfRule type="cellIs" dxfId="260" priority="237" operator="equal">
      <formula>"Mystic"</formula>
    </cfRule>
  </conditionalFormatting>
  <conditionalFormatting sqref="K1533">
    <cfRule type="cellIs" dxfId="259" priority="226" operator="equal">
      <formula>"seeker"</formula>
    </cfRule>
    <cfRule type="cellIs" dxfId="258" priority="227" operator="equal">
      <formula>"neutral"</formula>
    </cfRule>
    <cfRule type="cellIs" dxfId="257" priority="228" operator="equal">
      <formula>"rogue"</formula>
    </cfRule>
    <cfRule type="cellIs" dxfId="256" priority="229" operator="equal">
      <formula>"Guardian"</formula>
    </cfRule>
    <cfRule type="cellIs" dxfId="255" priority="230" operator="equal">
      <formula>"Survivor"</formula>
    </cfRule>
    <cfRule type="cellIs" dxfId="254" priority="231" operator="equal">
      <formula>"Mystic"</formula>
    </cfRule>
  </conditionalFormatting>
  <conditionalFormatting sqref="AM1533">
    <cfRule type="cellIs" dxfId="253" priority="220" operator="equal">
      <formula>"seeker"</formula>
    </cfRule>
    <cfRule type="cellIs" dxfId="252" priority="221" operator="equal">
      <formula>"neutral"</formula>
    </cfRule>
    <cfRule type="cellIs" dxfId="251" priority="222" operator="equal">
      <formula>"rogue"</formula>
    </cfRule>
    <cfRule type="cellIs" dxfId="250" priority="223" operator="equal">
      <formula>"Guardian"</formula>
    </cfRule>
    <cfRule type="cellIs" dxfId="249" priority="224" operator="equal">
      <formula>"Survivor"</formula>
    </cfRule>
    <cfRule type="cellIs" dxfId="248" priority="225" operator="equal">
      <formula>"Mystic"</formula>
    </cfRule>
  </conditionalFormatting>
  <conditionalFormatting sqref="K1534">
    <cfRule type="cellIs" dxfId="247" priority="214" operator="equal">
      <formula>"seeker"</formula>
    </cfRule>
    <cfRule type="cellIs" dxfId="246" priority="215" operator="equal">
      <formula>"neutral"</formula>
    </cfRule>
    <cfRule type="cellIs" dxfId="245" priority="216" operator="equal">
      <formula>"rogue"</formula>
    </cfRule>
    <cfRule type="cellIs" dxfId="244" priority="217" operator="equal">
      <formula>"Guardian"</formula>
    </cfRule>
    <cfRule type="cellIs" dxfId="243" priority="218" operator="equal">
      <formula>"Survivor"</formula>
    </cfRule>
    <cfRule type="cellIs" dxfId="242" priority="219" operator="equal">
      <formula>"Mystic"</formula>
    </cfRule>
  </conditionalFormatting>
  <conditionalFormatting sqref="K1535">
    <cfRule type="cellIs" dxfId="241" priority="208" operator="equal">
      <formula>"seeker"</formula>
    </cfRule>
    <cfRule type="cellIs" dxfId="240" priority="209" operator="equal">
      <formula>"neutral"</formula>
    </cfRule>
    <cfRule type="cellIs" dxfId="239" priority="210" operator="equal">
      <formula>"rogue"</formula>
    </cfRule>
    <cfRule type="cellIs" dxfId="238" priority="211" operator="equal">
      <formula>"Guardian"</formula>
    </cfRule>
    <cfRule type="cellIs" dxfId="237" priority="212" operator="equal">
      <formula>"Survivor"</formula>
    </cfRule>
    <cfRule type="cellIs" dxfId="236" priority="213" operator="equal">
      <formula>"Mystic"</formula>
    </cfRule>
  </conditionalFormatting>
  <conditionalFormatting sqref="AM1541">
    <cfRule type="cellIs" dxfId="235" priority="202" operator="equal">
      <formula>"seeker"</formula>
    </cfRule>
    <cfRule type="cellIs" dxfId="234" priority="203" operator="equal">
      <formula>"neutral"</formula>
    </cfRule>
    <cfRule type="cellIs" dxfId="233" priority="204" operator="equal">
      <formula>"rogue"</formula>
    </cfRule>
    <cfRule type="cellIs" dxfId="232" priority="205" operator="equal">
      <formula>"Guardian"</formula>
    </cfRule>
    <cfRule type="cellIs" dxfId="231" priority="206" operator="equal">
      <formula>"Survivor"</formula>
    </cfRule>
    <cfRule type="cellIs" dxfId="230" priority="207" operator="equal">
      <formula>"Mystic"</formula>
    </cfRule>
  </conditionalFormatting>
  <conditionalFormatting sqref="AL1551">
    <cfRule type="cellIs" dxfId="229" priority="190" operator="equal">
      <formula>"Seeker"</formula>
    </cfRule>
    <cfRule type="cellIs" dxfId="228" priority="191" operator="equal">
      <formula>"Neutral"</formula>
    </cfRule>
    <cfRule type="cellIs" dxfId="227" priority="192" operator="equal">
      <formula>"Rogue"</formula>
    </cfRule>
    <cfRule type="cellIs" dxfId="226" priority="193" operator="equal">
      <formula>"Guardian"</formula>
    </cfRule>
    <cfRule type="cellIs" dxfId="225" priority="194" operator="equal">
      <formula>"Survivor"</formula>
    </cfRule>
    <cfRule type="cellIs" dxfId="224" priority="195" operator="equal">
      <formula>"Mystic"</formula>
    </cfRule>
  </conditionalFormatting>
  <conditionalFormatting sqref="AM1529">
    <cfRule type="cellIs" dxfId="223" priority="184" operator="equal">
      <formula>"seeker"</formula>
    </cfRule>
    <cfRule type="cellIs" dxfId="222" priority="185" operator="equal">
      <formula>"neutral"</formula>
    </cfRule>
    <cfRule type="cellIs" dxfId="221" priority="186" operator="equal">
      <formula>"rogue"</formula>
    </cfRule>
    <cfRule type="cellIs" dxfId="220" priority="187" operator="equal">
      <formula>"Guardian"</formula>
    </cfRule>
    <cfRule type="cellIs" dxfId="219" priority="188" operator="equal">
      <formula>"Survivor"</formula>
    </cfRule>
    <cfRule type="cellIs" dxfId="218" priority="189" operator="equal">
      <formula>"Mystic"</formula>
    </cfRule>
  </conditionalFormatting>
  <conditionalFormatting sqref="AM1619:AM1622">
    <cfRule type="cellIs" dxfId="217" priority="178" operator="equal">
      <formula>"seeker"</formula>
    </cfRule>
    <cfRule type="cellIs" dxfId="216" priority="179" operator="equal">
      <formula>"neutral"</formula>
    </cfRule>
    <cfRule type="cellIs" dxfId="215" priority="180" operator="equal">
      <formula>"rogue"</formula>
    </cfRule>
    <cfRule type="cellIs" dxfId="214" priority="181" operator="equal">
      <formula>"Guardian"</formula>
    </cfRule>
    <cfRule type="cellIs" dxfId="213" priority="182" operator="equal">
      <formula>"Survivor"</formula>
    </cfRule>
    <cfRule type="cellIs" dxfId="212" priority="183" operator="equal">
      <formula>"Mystic"</formula>
    </cfRule>
  </conditionalFormatting>
  <conditionalFormatting sqref="AM1618">
    <cfRule type="cellIs" dxfId="211" priority="172" operator="equal">
      <formula>"Seeker"</formula>
    </cfRule>
    <cfRule type="cellIs" dxfId="210" priority="173" operator="equal">
      <formula>"Neutral"</formula>
    </cfRule>
    <cfRule type="cellIs" dxfId="209" priority="174" operator="equal">
      <formula>"Rogue"</formula>
    </cfRule>
    <cfRule type="cellIs" dxfId="208" priority="175" operator="equal">
      <formula>"Guardian"</formula>
    </cfRule>
    <cfRule type="cellIs" dxfId="207" priority="176" operator="equal">
      <formula>"Survivor"</formula>
    </cfRule>
    <cfRule type="cellIs" dxfId="206" priority="177" operator="equal">
      <formula>"Mystic"</formula>
    </cfRule>
  </conditionalFormatting>
  <conditionalFormatting sqref="K1619:K1622">
    <cfRule type="cellIs" dxfId="205" priority="166" operator="equal">
      <formula>"seeker"</formula>
    </cfRule>
    <cfRule type="cellIs" dxfId="204" priority="167" operator="equal">
      <formula>"neutral"</formula>
    </cfRule>
    <cfRule type="cellIs" dxfId="203" priority="168" operator="equal">
      <formula>"rogue"</formula>
    </cfRule>
    <cfRule type="cellIs" dxfId="202" priority="169" operator="equal">
      <formula>"Guardian"</formula>
    </cfRule>
    <cfRule type="cellIs" dxfId="201" priority="170" operator="equal">
      <formula>"Survivor"</formula>
    </cfRule>
    <cfRule type="cellIs" dxfId="200" priority="171" operator="equal">
      <formula>"Mystic"</formula>
    </cfRule>
  </conditionalFormatting>
  <conditionalFormatting sqref="K1618">
    <cfRule type="cellIs" dxfId="199" priority="160" operator="equal">
      <formula>"Seeker"</formula>
    </cfRule>
    <cfRule type="cellIs" dxfId="198" priority="161" operator="equal">
      <formula>"Neutral"</formula>
    </cfRule>
    <cfRule type="cellIs" dxfId="197" priority="162" operator="equal">
      <formula>"Rogue"</formula>
    </cfRule>
    <cfRule type="cellIs" dxfId="196" priority="163" operator="equal">
      <formula>"Guardian"</formula>
    </cfRule>
    <cfRule type="cellIs" dxfId="195" priority="164" operator="equal">
      <formula>"Survivor"</formula>
    </cfRule>
    <cfRule type="cellIs" dxfId="194" priority="165" operator="equal">
      <formula>"Mystic"</formula>
    </cfRule>
  </conditionalFormatting>
  <conditionalFormatting sqref="K1623">
    <cfRule type="cellIs" dxfId="193" priority="154" operator="equal">
      <formula>"seeker"</formula>
    </cfRule>
    <cfRule type="cellIs" dxfId="192" priority="155" operator="equal">
      <formula>"neutral"</formula>
    </cfRule>
    <cfRule type="cellIs" dxfId="191" priority="156" operator="equal">
      <formula>"rogue"</formula>
    </cfRule>
    <cfRule type="cellIs" dxfId="190" priority="157" operator="equal">
      <formula>"Guardian"</formula>
    </cfRule>
    <cfRule type="cellIs" dxfId="189" priority="158" operator="equal">
      <formula>"Survivor"</formula>
    </cfRule>
    <cfRule type="cellIs" dxfId="188" priority="159" operator="equal">
      <formula>"Mystic"</formula>
    </cfRule>
  </conditionalFormatting>
  <conditionalFormatting sqref="AM1623">
    <cfRule type="cellIs" dxfId="187" priority="148" operator="equal">
      <formula>"seeker"</formula>
    </cfRule>
    <cfRule type="cellIs" dxfId="186" priority="149" operator="equal">
      <formula>"neutral"</formula>
    </cfRule>
    <cfRule type="cellIs" dxfId="185" priority="150" operator="equal">
      <formula>"rogue"</formula>
    </cfRule>
    <cfRule type="cellIs" dxfId="184" priority="151" operator="equal">
      <formula>"Guardian"</formula>
    </cfRule>
    <cfRule type="cellIs" dxfId="183" priority="152" operator="equal">
      <formula>"Survivor"</formula>
    </cfRule>
    <cfRule type="cellIs" dxfId="182" priority="153" operator="equal">
      <formula>"Mystic"</formula>
    </cfRule>
  </conditionalFormatting>
  <conditionalFormatting sqref="AM1624">
    <cfRule type="cellIs" dxfId="181" priority="142" operator="equal">
      <formula>"Seeker"</formula>
    </cfRule>
    <cfRule type="cellIs" dxfId="180" priority="143" operator="equal">
      <formula>"Neutral"</formula>
    </cfRule>
    <cfRule type="cellIs" dxfId="179" priority="144" operator="equal">
      <formula>"Rogue"</formula>
    </cfRule>
    <cfRule type="cellIs" dxfId="178" priority="145" operator="equal">
      <formula>"Guardian"</formula>
    </cfRule>
    <cfRule type="cellIs" dxfId="177" priority="146" operator="equal">
      <formula>"Survivor"</formula>
    </cfRule>
    <cfRule type="cellIs" dxfId="176" priority="147" operator="equal">
      <formula>"Mystic"</formula>
    </cfRule>
  </conditionalFormatting>
  <conditionalFormatting sqref="AM1625">
    <cfRule type="cellIs" dxfId="175" priority="136" operator="equal">
      <formula>"Seeker"</formula>
    </cfRule>
    <cfRule type="cellIs" dxfId="174" priority="137" operator="equal">
      <formula>"Neutral"</formula>
    </cfRule>
    <cfRule type="cellIs" dxfId="173" priority="138" operator="equal">
      <formula>"Rogue"</formula>
    </cfRule>
    <cfRule type="cellIs" dxfId="172" priority="139" operator="equal">
      <formula>"Guardian"</formula>
    </cfRule>
    <cfRule type="cellIs" dxfId="171" priority="140" operator="equal">
      <formula>"Survivor"</formula>
    </cfRule>
    <cfRule type="cellIs" dxfId="170" priority="141" operator="equal">
      <formula>"Mystic"</formula>
    </cfRule>
  </conditionalFormatting>
  <conditionalFormatting sqref="AM1626">
    <cfRule type="cellIs" dxfId="169" priority="130" operator="equal">
      <formula>"Seeker"</formula>
    </cfRule>
    <cfRule type="cellIs" dxfId="168" priority="131" operator="equal">
      <formula>"Neutral"</formula>
    </cfRule>
    <cfRule type="cellIs" dxfId="167" priority="132" operator="equal">
      <formula>"Rogue"</formula>
    </cfRule>
    <cfRule type="cellIs" dxfId="166" priority="133" operator="equal">
      <formula>"Guardian"</formula>
    </cfRule>
    <cfRule type="cellIs" dxfId="165" priority="134" operator="equal">
      <formula>"Survivor"</formula>
    </cfRule>
    <cfRule type="cellIs" dxfId="164" priority="135" operator="equal">
      <formula>"Mystic"</formula>
    </cfRule>
  </conditionalFormatting>
  <conditionalFormatting sqref="AM1627">
    <cfRule type="cellIs" dxfId="163" priority="124" operator="equal">
      <formula>"Seeker"</formula>
    </cfRule>
    <cfRule type="cellIs" dxfId="162" priority="125" operator="equal">
      <formula>"Neutral"</formula>
    </cfRule>
    <cfRule type="cellIs" dxfId="161" priority="126" operator="equal">
      <formula>"Rogue"</formula>
    </cfRule>
    <cfRule type="cellIs" dxfId="160" priority="127" operator="equal">
      <formula>"Guardian"</formula>
    </cfRule>
    <cfRule type="cellIs" dxfId="159" priority="128" operator="equal">
      <formula>"Survivor"</formula>
    </cfRule>
    <cfRule type="cellIs" dxfId="158" priority="129" operator="equal">
      <formula>"Mystic"</formula>
    </cfRule>
  </conditionalFormatting>
  <conditionalFormatting sqref="K1624">
    <cfRule type="cellIs" dxfId="157" priority="118" operator="equal">
      <formula>"Seeker"</formula>
    </cfRule>
    <cfRule type="cellIs" dxfId="156" priority="119" operator="equal">
      <formula>"Neutral"</formula>
    </cfRule>
    <cfRule type="cellIs" dxfId="155" priority="120" operator="equal">
      <formula>"Rogue"</formula>
    </cfRule>
    <cfRule type="cellIs" dxfId="154" priority="121" operator="equal">
      <formula>"Guardian"</formula>
    </cfRule>
    <cfRule type="cellIs" dxfId="153" priority="122" operator="equal">
      <formula>"Survivor"</formula>
    </cfRule>
    <cfRule type="cellIs" dxfId="152" priority="123" operator="equal">
      <formula>"Mystic"</formula>
    </cfRule>
  </conditionalFormatting>
  <conditionalFormatting sqref="K1625">
    <cfRule type="cellIs" dxfId="151" priority="112" operator="equal">
      <formula>"Seeker"</formula>
    </cfRule>
    <cfRule type="cellIs" dxfId="150" priority="113" operator="equal">
      <formula>"Neutral"</formula>
    </cfRule>
    <cfRule type="cellIs" dxfId="149" priority="114" operator="equal">
      <formula>"Rogue"</formula>
    </cfRule>
    <cfRule type="cellIs" dxfId="148" priority="115" operator="equal">
      <formula>"Guardian"</formula>
    </cfRule>
    <cfRule type="cellIs" dxfId="147" priority="116" operator="equal">
      <formula>"Survivor"</formula>
    </cfRule>
    <cfRule type="cellIs" dxfId="146" priority="117" operator="equal">
      <formula>"Mystic"</formula>
    </cfRule>
  </conditionalFormatting>
  <conditionalFormatting sqref="K1626">
    <cfRule type="cellIs" dxfId="145" priority="106" operator="equal">
      <formula>"Seeker"</formula>
    </cfRule>
    <cfRule type="cellIs" dxfId="144" priority="107" operator="equal">
      <formula>"Neutral"</formula>
    </cfRule>
    <cfRule type="cellIs" dxfId="143" priority="108" operator="equal">
      <formula>"Rogue"</formula>
    </cfRule>
    <cfRule type="cellIs" dxfId="142" priority="109" operator="equal">
      <formula>"Guardian"</formula>
    </cfRule>
    <cfRule type="cellIs" dxfId="141" priority="110" operator="equal">
      <formula>"Survivor"</formula>
    </cfRule>
    <cfRule type="cellIs" dxfId="140" priority="111" operator="equal">
      <formula>"Mystic"</formula>
    </cfRule>
  </conditionalFormatting>
  <conditionalFormatting sqref="K1627">
    <cfRule type="cellIs" dxfId="139" priority="100" operator="equal">
      <formula>"Seeker"</formula>
    </cfRule>
    <cfRule type="cellIs" dxfId="138" priority="101" operator="equal">
      <formula>"Neutral"</formula>
    </cfRule>
    <cfRule type="cellIs" dxfId="137" priority="102" operator="equal">
      <formula>"Rogue"</formula>
    </cfRule>
    <cfRule type="cellIs" dxfId="136" priority="103" operator="equal">
      <formula>"Guardian"</formula>
    </cfRule>
    <cfRule type="cellIs" dxfId="135" priority="104" operator="equal">
      <formula>"Survivor"</formula>
    </cfRule>
    <cfRule type="cellIs" dxfId="134" priority="105" operator="equal">
      <formula>"Mystic"</formula>
    </cfRule>
  </conditionalFormatting>
  <conditionalFormatting sqref="AM1564">
    <cfRule type="cellIs" dxfId="98" priority="59" operator="equal">
      <formula>"seeker"</formula>
    </cfRule>
    <cfRule type="cellIs" dxfId="97" priority="60" operator="equal">
      <formula>"neutral"</formula>
    </cfRule>
    <cfRule type="cellIs" dxfId="96" priority="61" operator="equal">
      <formula>"rogue"</formula>
    </cfRule>
    <cfRule type="cellIs" dxfId="95" priority="62" operator="equal">
      <formula>"Guardian"</formula>
    </cfRule>
    <cfRule type="cellIs" dxfId="94" priority="63" operator="equal">
      <formula>"Survivor"</formula>
    </cfRule>
    <cfRule type="cellIs" dxfId="93" priority="64" operator="equal">
      <formula>"Mystic"</formula>
    </cfRule>
  </conditionalFormatting>
  <conditionalFormatting sqref="AM1594">
    <cfRule type="cellIs" dxfId="92" priority="53" operator="equal">
      <formula>"seeker"</formula>
    </cfRule>
    <cfRule type="cellIs" dxfId="91" priority="54" operator="equal">
      <formula>"neutral"</formula>
    </cfRule>
    <cfRule type="cellIs" dxfId="90" priority="55" operator="equal">
      <formula>"rogue"</formula>
    </cfRule>
    <cfRule type="cellIs" dxfId="89" priority="56" operator="equal">
      <formula>"Guardian"</formula>
    </cfRule>
    <cfRule type="cellIs" dxfId="88" priority="57" operator="equal">
      <formula>"Survivor"</formula>
    </cfRule>
    <cfRule type="cellIs" dxfId="87" priority="58" operator="equal">
      <formula>"Mystic"</formula>
    </cfRule>
  </conditionalFormatting>
  <conditionalFormatting sqref="AL1633:AL1638">
    <cfRule type="cellIs" dxfId="69" priority="25" operator="equal">
      <formula>"Seeker"</formula>
    </cfRule>
    <cfRule type="cellIs" dxfId="68" priority="26" operator="equal">
      <formula>"Neutral"</formula>
    </cfRule>
    <cfRule type="cellIs" dxfId="67" priority="27" operator="equal">
      <formula>"Rogue"</formula>
    </cfRule>
    <cfRule type="cellIs" dxfId="66" priority="28" operator="equal">
      <formula>"Guardian"</formula>
    </cfRule>
    <cfRule type="cellIs" dxfId="65" priority="29" operator="equal">
      <formula>"Survivor"</formula>
    </cfRule>
    <cfRule type="cellIs" dxfId="64" priority="30" operator="equal">
      <formula>"Mystic"</formula>
    </cfRule>
  </conditionalFormatting>
  <conditionalFormatting sqref="K1628">
    <cfRule type="cellIs" dxfId="57" priority="19" operator="equal">
      <formula>"Seeker"</formula>
    </cfRule>
    <cfRule type="cellIs" dxfId="56" priority="20" operator="equal">
      <formula>"Neutral"</formula>
    </cfRule>
    <cfRule type="cellIs" dxfId="55" priority="21" operator="equal">
      <formula>"Rogue"</formula>
    </cfRule>
    <cfRule type="cellIs" dxfId="54" priority="22" operator="equal">
      <formula>"Guardian"</formula>
    </cfRule>
    <cfRule type="cellIs" dxfId="53" priority="23" operator="equal">
      <formula>"Survivor"</formula>
    </cfRule>
    <cfRule type="cellIs" dxfId="52" priority="24" operator="equal">
      <formula>"Mystic"</formula>
    </cfRule>
  </conditionalFormatting>
  <conditionalFormatting sqref="AM1629:AM1632">
    <cfRule type="cellIs" dxfId="45" priority="13" operator="equal">
      <formula>"seeker"</formula>
    </cfRule>
    <cfRule type="cellIs" dxfId="44" priority="14" operator="equal">
      <formula>"neutral"</formula>
    </cfRule>
    <cfRule type="cellIs" dxfId="43" priority="15" operator="equal">
      <formula>"rogue"</formula>
    </cfRule>
    <cfRule type="cellIs" dxfId="42" priority="16" operator="equal">
      <formula>"Guardian"</formula>
    </cfRule>
    <cfRule type="cellIs" dxfId="41" priority="17" operator="equal">
      <formula>"Survivor"</formula>
    </cfRule>
    <cfRule type="cellIs" dxfId="40" priority="18" operator="equal">
      <formula>"Mystic"</formula>
    </cfRule>
  </conditionalFormatting>
  <conditionalFormatting sqref="AM1628">
    <cfRule type="cellIs" dxfId="33" priority="7" operator="equal">
      <formula>"Seeker"</formula>
    </cfRule>
    <cfRule type="cellIs" dxfId="32" priority="8" operator="equal">
      <formula>"Neutral"</formula>
    </cfRule>
    <cfRule type="cellIs" dxfId="31" priority="9" operator="equal">
      <formula>"Rogue"</formula>
    </cfRule>
    <cfRule type="cellIs" dxfId="30" priority="10" operator="equal">
      <formula>"Guardian"</formula>
    </cfRule>
    <cfRule type="cellIs" dxfId="29" priority="11" operator="equal">
      <formula>"Survivor"</formula>
    </cfRule>
    <cfRule type="cellIs" dxfId="28" priority="12" operator="equal">
      <formula>"Mystic"</formula>
    </cfRule>
  </conditionalFormatting>
  <conditionalFormatting sqref="K1628:K1638 AM1628:AM1638">
    <cfRule type="cellIs" dxfId="11" priority="1" operator="equal">
      <formula>"survivor|seeker"</formula>
    </cfRule>
    <cfRule type="cellIs" dxfId="12" priority="2" operator="equal">
      <formula>"mystic|guardian"</formula>
    </cfRule>
    <cfRule type="cellIs" dxfId="13" priority="3" operator="equal">
      <formula>"rogue|survivor"</formula>
    </cfRule>
    <cfRule type="cellIs" dxfId="14" priority="4" operator="equal">
      <formula>"seeker|mystic"</formula>
    </cfRule>
    <cfRule type="cellIs" dxfId="21" priority="5" operator="equal">
      <formula>"guardian|rogue"</formula>
    </cfRule>
    <cfRule type="cellIs" dxfId="20" priority="6" operator="equal">
      <formula>"Seeker"</formula>
    </cfRule>
    <cfRule type="cellIs" dxfId="19" priority="31" operator="equal">
      <formula>"neutral"</formula>
    </cfRule>
    <cfRule type="cellIs" dxfId="18" priority="32" operator="equal">
      <formula>"rogue"</formula>
    </cfRule>
    <cfRule type="cellIs" dxfId="17" priority="33" operator="equal">
      <formula>"Guardian"</formula>
    </cfRule>
    <cfRule type="cellIs" dxfId="16" priority="34" operator="equal">
      <formula>"Survivor"</formula>
    </cfRule>
    <cfRule type="cellIs" dxfId="15" priority="35"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4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6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390">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40">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2019-03-20T16:28:56Z</dcterms:modified>
</cp:coreProperties>
</file>